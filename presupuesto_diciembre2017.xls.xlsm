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/>
  </bookViews>
  <sheets>
    <sheet name="Cotizador" sheetId="1" r:id="rId1"/>
    <sheet name="Precios" sheetId="4" r:id="rId2"/>
  </sheets>
  <definedNames>
    <definedName name="_xlnm._FilterDatabase" localSheetId="0" hidden="1">Cotizador!$A$10:$P$18</definedName>
    <definedName name="descuentoTotalName">Cotizador!$P$15</definedName>
    <definedName name="I.V.A">Cotizador!$O$17</definedName>
    <definedName name="porcentajeDescuentoName">Cotizador!$O$15</definedName>
    <definedName name="PUERTAS">Precios!$C$3:$C$91</definedName>
    <definedName name="puertasItemsName">Cotizador!$J1:XFC1</definedName>
    <definedName name="subtotalConDescuentoName">Cotizador!$O$16</definedName>
    <definedName name="subtotalParcialName">Cotizador!$O$14</definedName>
    <definedName name="subtotalRangeName">Cotizador!$O$13:$P$13</definedName>
  </definedNames>
  <calcPr calcId="152511"/>
</workbook>
</file>

<file path=xl/calcChain.xml><?xml version="1.0" encoding="utf-8"?>
<calcChain xmlns="http://schemas.openxmlformats.org/spreadsheetml/2006/main">
  <c r="L13" i="1" l="1"/>
  <c r="N13" i="1" s="1"/>
  <c r="O13" i="1" s="1"/>
  <c r="J13" i="1"/>
  <c r="I13" i="1"/>
  <c r="H13" i="1"/>
  <c r="G13" i="1"/>
  <c r="F13" i="1"/>
  <c r="G95" i="4" l="1"/>
  <c r="F95" i="4"/>
  <c r="G94" i="4"/>
  <c r="F94" i="4"/>
  <c r="G93" i="4"/>
  <c r="F93" i="4"/>
  <c r="G92" i="4"/>
  <c r="F92" i="4"/>
  <c r="G77" i="4"/>
  <c r="F77" i="4"/>
  <c r="G62" i="4"/>
  <c r="F62" i="4"/>
  <c r="G47" i="4"/>
  <c r="F47" i="4"/>
  <c r="G32" i="4"/>
  <c r="F32" i="4"/>
  <c r="G17" i="4"/>
  <c r="F17" i="4"/>
  <c r="G63" i="4" l="1"/>
  <c r="F63" i="4"/>
  <c r="G48" i="4"/>
  <c r="F48" i="4"/>
  <c r="G33" i="4"/>
  <c r="F33" i="4"/>
  <c r="G18" i="4"/>
  <c r="F18" i="4"/>
  <c r="G3" i="4"/>
  <c r="F3" i="4"/>
  <c r="G78" i="4"/>
  <c r="F78" i="4"/>
  <c r="G91" i="4" l="1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O14" i="1"/>
  <c r="P15" i="1" s="1"/>
  <c r="O16" i="1" l="1"/>
  <c r="O17" i="1" s="1"/>
  <c r="O18" i="1" s="1"/>
</calcChain>
</file>

<file path=xl/sharedStrings.xml><?xml version="1.0" encoding="utf-8"?>
<sst xmlns="http://schemas.openxmlformats.org/spreadsheetml/2006/main" count="463" uniqueCount="270">
  <si>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</si>
  <si>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</si>
  <si>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</si>
  <si>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</si>
  <si>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</si>
  <si>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</si>
  <si>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</si>
  <si>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</si>
  <si>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</si>
  <si>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</si>
  <si>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</si>
  <si>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</si>
  <si>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</si>
  <si>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</si>
  <si>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</si>
  <si>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</si>
  <si>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</si>
  <si>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</si>
  <si>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</si>
  <si>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</si>
  <si>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</si>
  <si>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</si>
  <si>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</si>
  <si>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</si>
  <si>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</si>
  <si>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</si>
  <si>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</si>
  <si>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</si>
  <si>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</si>
  <si>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</si>
  <si>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</si>
  <si>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</si>
  <si>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</si>
  <si>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</si>
  <si>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</si>
  <si>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</si>
  <si>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</si>
  <si>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</si>
  <si>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</si>
  <si>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</si>
  <si>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</si>
  <si>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</si>
  <si>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</si>
  <si>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</si>
  <si>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</si>
  <si>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</si>
  <si>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</si>
  <si>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</si>
  <si>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</si>
  <si>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</si>
  <si>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</si>
  <si>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</si>
  <si>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</si>
  <si>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</si>
  <si>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</si>
  <si>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</si>
  <si>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</si>
  <si>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</si>
  <si>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</si>
  <si>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</si>
  <si>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</si>
  <si>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</si>
  <si>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</si>
  <si>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</si>
  <si>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</si>
  <si>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</si>
  <si>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</si>
  <si>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</si>
  <si>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</si>
  <si>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</si>
  <si>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</si>
  <si>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</si>
  <si>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</si>
  <si>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</si>
  <si>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</si>
  <si>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</si>
  <si>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</si>
  <si>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</si>
  <si>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</si>
  <si>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</si>
  <si>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</si>
  <si>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</si>
  <si>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</si>
  <si>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</si>
  <si>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</si>
  <si>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</si>
  <si>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</si>
  <si>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</si>
  <si>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</si>
  <si>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</si>
  <si>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</si>
  <si>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</si>
  <si>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</si>
  <si>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</si>
  <si>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</si>
  <si>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</si>
  <si>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</si>
  <si>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</si>
  <si>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</si>
  <si>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</si>
  <si>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</si>
  <si>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</si>
  <si>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</si>
  <si>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</si>
  <si>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</si>
  <si>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</si>
  <si>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</si>
  <si>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</si>
  <si>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</si>
  <si>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</si>
  <si>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</si>
  <si>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</si>
  <si>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</si>
  <si>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</si>
  <si>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</si>
  <si>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</si>
  <si>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</si>
  <si>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</si>
  <si>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</si>
  <si>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</si>
  <si>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</si>
  <si>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</si>
  <si>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</si>
  <si>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</si>
  <si>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</si>
  <si>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</si>
  <si>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</si>
  <si>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</si>
  <si>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</si>
  <si>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</si>
  <si>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</si>
  <si>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</si>
  <si>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</si>
  <si>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</si>
  <si>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</si>
  <si>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</si>
  <si>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</si>
  <si>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</si>
  <si>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</si>
  <si>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</si>
  <si>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</si>
  <si>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</si>
  <si>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</si>
  <si>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</si>
  <si>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</si>
  <si>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</si>
  <si>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</si>
  <si>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</si>
  <si>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</si>
  <si>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</si>
  <si>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</si>
  <si>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</si>
  <si>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</si>
  <si>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</si>
  <si>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</si>
  <si>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</si>
  <si>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</si>
  <si>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</si>
  <si>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</si>
  <si>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</si>
  <si>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</si>
  <si>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</si>
  <si>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</si>
  <si>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</si>
  <si>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</si>
  <si>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</si>
  <si>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</si>
  <si>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</si>
  <si>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</si>
  <si>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</si>
  <si>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</si>
  <si>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</si>
  <si>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</si>
  <si>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</si>
  <si>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</si>
  <si>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</si>
  <si>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</si>
  <si>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</si>
  <si>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</si>
  <si>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</si>
  <si>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</si>
  <si>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</si>
  <si>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</si>
  <si>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</si>
  <si>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</si>
  <si>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</si>
  <si>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I.V.A</t>
  </si>
  <si>
    <t>Total</t>
  </si>
  <si>
    <t>MEDIA MANIJA SANATORIO PLATIL</t>
  </si>
  <si>
    <t>ventas@mesquita.com.ar</t>
  </si>
  <si>
    <t>4115-0800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</si>
  <si>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</si>
  <si>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</si>
  <si>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</si>
  <si>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</si>
  <si>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</si>
  <si>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</si>
  <si>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</si>
  <si>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</si>
  <si>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</si>
  <si>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</si>
  <si>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</si>
  <si>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</si>
  <si>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</si>
  <si>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</si>
  <si>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</si>
  <si>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</si>
  <si>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</si>
  <si>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</si>
  <si>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</si>
  <si>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</si>
  <si>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</si>
  <si>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</si>
  <si>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</si>
  <si>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</si>
  <si>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</si>
  <si>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</si>
  <si>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</si>
  <si>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</si>
  <si>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</si>
  <si>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</si>
  <si>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</si>
  <si>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</si>
  <si>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</si>
  <si>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</si>
  <si>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</si>
  <si>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</si>
  <si>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</si>
  <si>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</si>
  <si>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</si>
  <si>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</si>
  <si>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</si>
  <si>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</si>
  <si>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</si>
  <si>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</si>
  <si>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</si>
  <si>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</si>
  <si>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</si>
  <si>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</si>
  <si>
    <t>RF314</t>
  </si>
  <si>
    <t>PUERTA RF30 2100 X 2000</t>
  </si>
  <si>
    <t>RF614</t>
  </si>
  <si>
    <t>PUERTA RF60 2100 X 2000</t>
  </si>
  <si>
    <t>PUERTA RF90 2100 X 2000</t>
  </si>
  <si>
    <t>RF1214</t>
  </si>
  <si>
    <t>PUERTA RF120 2100 X 2000</t>
  </si>
  <si>
    <t>PCD10</t>
  </si>
  <si>
    <t>PUERTA SEGURIDAD CH16 2100 X 2000</t>
  </si>
  <si>
    <t>PC18D10</t>
  </si>
  <si>
    <t>PUERTA SEGURIDAD MET CH18 2100 X 2000</t>
  </si>
  <si>
    <t>EURO01</t>
  </si>
  <si>
    <t>EURO02</t>
  </si>
  <si>
    <t>EURO03</t>
  </si>
  <si>
    <t>PUERTA CORTAFUEGO NOVOFERM 900 X 2000</t>
  </si>
  <si>
    <t>PUERTA CORTAFUEGO NOVOFERM 1400 X 2000</t>
  </si>
  <si>
    <t>PUERTA CORTAFUEGO NOVOFERM 1600 X 2000</t>
  </si>
  <si>
    <t>ZOCALO ACERO INOX H:15CM (X CARA)</t>
  </si>
  <si>
    <t>TOPE RECORRIDO</t>
  </si>
  <si>
    <t>TOPE RECORRIDO CON FRENO</t>
  </si>
  <si>
    <t>TOPE RECORRIDO CON MAGNETICO</t>
  </si>
  <si>
    <t>MANIJON 300MM HAFELE</t>
  </si>
  <si>
    <t>MANIJON 800MM HAFELE</t>
  </si>
  <si>
    <t>CERRADURA ELECTROMECANICA ISEO ITALIA</t>
  </si>
  <si>
    <t>BARRAL CON FALLEBA PUSH</t>
  </si>
  <si>
    <t>CERRADURA MAC DOBLE PALETA</t>
  </si>
  <si>
    <t>REJILLA DE VENTILACION 400X200</t>
  </si>
  <si>
    <t xml:space="preserve">PLACA DE ACERO CON LEYENDA PUSH HAFELE </t>
  </si>
  <si>
    <t>Descuento</t>
  </si>
  <si>
    <t>Subtotal parcial</t>
  </si>
  <si>
    <t>Subtotal con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</si>
</sst>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_ &quot;$&quot;\ * #,##0_ ;_ &quot;$&quot;\ * \-#,##0_ ;_ &quot;$&quot;\ * &quot;-&quot;??_ ;_ @_ "/>
    <numFmt numFmtId="165" formatCode="_ &quot;$&quot;\ * #,##0.00_ ;_ &quot;$&quot;\ * \-#,##0.00_ ;_ &quot;$&quot;\ * &quot;-&quot;_ ;_ @_ "/>
    <numFmt numFmtId="166" formatCode="&quot;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49" fontId="0" fillId="0" borderId="11" xfId="0" applyNumberFormat="1" applyFont="1" applyBorder="1" applyAlignment="1">
      <alignment horizontal="center"/>
    </xf>
    <xf numFmtId="0" fontId="0" fillId="0" borderId="0" xfId="0" applyBorder="1"/>
    <xf numFmtId="4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/>
    <xf numFmtId="49" fontId="9" fillId="0" borderId="0" xfId="0" applyNumberFormat="1" applyFont="1" applyBorder="1" applyAlignment="1">
      <alignment horizontal="center"/>
    </xf>
    <xf numFmtId="0" fontId="9" fillId="0" borderId="0" xfId="0" applyFont="1" applyBorder="1" applyAlignment="1"/>
    <xf numFmtId="44" fontId="9" fillId="0" borderId="0" xfId="1" applyNumberFormat="1" applyFont="1"/>
    <xf numFmtId="165" fontId="10" fillId="0" borderId="0" xfId="0" applyNumberFormat="1" applyFont="1" applyFill="1" applyBorder="1" applyAlignment="1" applyProtection="1">
      <alignment vertical="top" wrapText="1"/>
    </xf>
    <xf numFmtId="165" fontId="10" fillId="0" borderId="0" xfId="0" applyNumberFormat="1" applyFont="1" applyBorder="1" applyAlignment="1"/>
    <xf numFmtId="44" fontId="10" fillId="0" borderId="0" xfId="1" applyNumberFormat="1" applyFont="1" applyBorder="1" applyAlignment="1"/>
    <xf numFmtId="44" fontId="10" fillId="0" borderId="0" xfId="1" applyNumberFormat="1" applyFont="1" applyAlignment="1"/>
    <xf numFmtId="44" fontId="10" fillId="0" borderId="0" xfId="1" applyNumberFormat="1" applyFont="1" applyAlignment="1">
      <alignment vertical="center"/>
    </xf>
    <xf numFmtId="164" fontId="10" fillId="0" borderId="0" xfId="0" applyNumberFormat="1" applyFont="1" applyFill="1" applyBorder="1" applyAlignment="1"/>
    <xf numFmtId="164" fontId="10" fillId="0" borderId="0" xfId="0" applyNumberFormat="1" applyFont="1" applyBorder="1" applyAlignment="1"/>
    <xf numFmtId="0" fontId="10" fillId="0" borderId="0" xfId="0" applyFont="1" applyBorder="1" applyAlignment="1"/>
    <xf numFmtId="49" fontId="0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/>
    </xf>
    <xf numFmtId="44" fontId="10" fillId="5" borderId="0" xfId="1" applyNumberFormat="1" applyFont="1" applyFill="1" applyAlignment="1"/>
    <xf numFmtId="44" fontId="10" fillId="5" borderId="0" xfId="1" applyNumberFormat="1" applyFont="1" applyFill="1"/>
    <xf numFmtId="165" fontId="10" fillId="5" borderId="0" xfId="0" applyNumberFormat="1" applyFont="1" applyFill="1" applyBorder="1" applyAlignment="1" applyProtection="1">
      <alignment vertical="top" wrapText="1"/>
    </xf>
    <xf numFmtId="44" fontId="0" fillId="0" borderId="0" xfId="1" applyFont="1"/>
    <xf numFmtId="44" fontId="10" fillId="0" borderId="0" xfId="1" applyNumberFormat="1" applyFont="1" applyFill="1" applyAlignment="1"/>
    <xf numFmtId="0" fontId="0" fillId="0" borderId="0" xfId="0" applyFont="1"/>
    <xf numFmtId="0" fontId="0" fillId="0" borderId="0" xfId="0"/>
    <xf numFmtId="44" fontId="0" fillId="0" borderId="31" xfId="0" applyNumberFormat="1" applyFont="1" applyBorder="1" applyAlignment="1">
      <alignment horizontal="center"/>
    </xf>
    <xf numFmtId="10" fontId="0" fillId="0" borderId="1" xfId="0" applyNumberFormat="1" applyFont="1" applyBorder="1"/>
    <xf numFmtId="166" fontId="0" fillId="0" borderId="1" xfId="0" applyNumberFormat="1" applyFont="1" applyBorder="1"/>
    <xf numFmtId="0" fontId="0" fillId="0" borderId="0" xfId="0"/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44" fontId="0" fillId="0" borderId="11" xfId="0" applyNumberFormat="1" applyFont="1" applyBorder="1"/>
    <xf numFmtId="0" fontId="0" fillId="3" borderId="3" xfId="0" applyFont="1" applyFill="1" applyBorder="1" applyAlignment="1">
      <alignment horizontal="center" vertical="center" textRotation="90"/>
    </xf>
    <xf numFmtId="0" fontId="0" fillId="3" borderId="6" xfId="0" applyFont="1" applyFill="1" applyBorder="1" applyAlignment="1">
      <alignment horizontal="center" vertical="center" textRotation="90"/>
    </xf>
    <xf numFmtId="0" fontId="0" fillId="3" borderId="8" xfId="0" applyFont="1" applyFill="1" applyBorder="1" applyAlignment="1">
      <alignment horizontal="center" vertical="center" textRotation="90"/>
    </xf>
    <xf numFmtId="0" fontId="0" fillId="3" borderId="5" xfId="0" applyFont="1" applyFill="1" applyBorder="1" applyAlignment="1">
      <alignment horizontal="center" vertical="center" textRotation="90"/>
    </xf>
    <xf numFmtId="0" fontId="0" fillId="3" borderId="7" xfId="0" applyFont="1" applyFill="1" applyBorder="1" applyAlignment="1">
      <alignment horizontal="center" vertical="center" textRotation="90"/>
    </xf>
    <xf numFmtId="0" fontId="0" fillId="3" borderId="10" xfId="0" applyFont="1" applyFill="1" applyBorder="1" applyAlignment="1">
      <alignment horizontal="center" vertical="center" textRotation="90"/>
    </xf>
    <xf numFmtId="0" fontId="0" fillId="0" borderId="0" xfId="0"/>
    <xf numFmtId="44" fontId="0" fillId="0" borderId="1" xfId="0" applyNumberFormat="1" applyFont="1" applyBorder="1"/>
    <xf numFmtId="44" fontId="0" fillId="0" borderId="1" xfId="0" applyNumberFormat="1" applyFont="1" applyBorder="1" applyAlignment="1">
      <alignment horizontal="center"/>
    </xf>
    <xf numFmtId="0" fontId="0" fillId="0" borderId="0" xfId="0" applyFont="1"/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6" fillId="0" borderId="24" xfId="2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8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</xdr:row>
          <xdr:rowOff>161925</xdr:rowOff>
        </xdr:from>
        <xdr:to>
          <xdr:col>9</xdr:col>
          <xdr:colOff>571500</xdr:colOff>
          <xdr:row>4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28575</xdr:rowOff>
        </xdr:from>
        <xdr:to>
          <xdr:col>9</xdr:col>
          <xdr:colOff>581025</xdr:colOff>
          <xdr:row>2</xdr:row>
          <xdr:rowOff>38100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Quitar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104775</xdr:rowOff>
        </xdr:from>
        <xdr:to>
          <xdr:col>9</xdr:col>
          <xdr:colOff>571500</xdr:colOff>
          <xdr:row>7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Puerta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13</xdr:row>
      <xdr:rowOff>133350</xdr:rowOff>
    </xdr:from>
    <xdr:to>
      <xdr:col>7</xdr:col>
      <xdr:colOff>552450</xdr:colOff>
      <xdr:row>20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12</xdr:col>
      <xdr:colOff>809625</xdr:colOff>
      <xdr:row>19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4</xdr:row>
          <xdr:rowOff>28575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Quitar Puerta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P26"/>
  <sheetViews>
    <sheetView tabSelected="1" workbookViewId="0">
      <pane ySplit="12" topLeftCell="A13" activePane="bottomLeft" state="frozen"/>
      <selection pane="bottomLeft" activeCell="A14" sqref="A14:XFD14"/>
    </sheetView>
  </sheetViews>
  <sheetFormatPr defaultColWidth="9.140625" defaultRowHeight="15" x14ac:dyDescent="0.25"/>
  <cols>
    <col min="1" max="1" width="9.7109375" customWidth="1"/>
    <col min="2" max="3" width="5.7109375" customWidth="1"/>
    <col min="4" max="4" width="29.85546875" customWidth="1"/>
    <col min="5" max="5" width="8.85546875" customWidth="1"/>
    <col min="7" max="7" width="10.28515625" customWidth="1"/>
    <col min="8" max="9" width="14.85546875" customWidth="1"/>
    <col min="11" max="11" width="3.5703125" customWidth="1"/>
    <col min="12" max="12" width="16.28515625" customWidth="1"/>
    <col min="13" max="13" width="15.85546875" customWidth="1"/>
    <col min="14" max="14" width="23" customWidth="1"/>
    <col min="15" max="15" width="9" customWidth="1"/>
    <col min="16" max="16" width="14" customWidth="1"/>
  </cols>
  <sheetData>
    <row r="1" spans="1:16" ht="15.75" thickBot="1" x14ac:dyDescent="0.3">
      <c r="A1" s="17"/>
      <c r="B1" s="18"/>
      <c r="C1" s="18"/>
      <c r="D1" s="19"/>
      <c r="E1" s="3"/>
      <c r="F1" s="93" t="s">
        <v>9</v>
      </c>
      <c r="G1" s="94"/>
      <c r="H1" s="108" t="s">
        <v>212</v>
      </c>
      <c r="I1" s="109"/>
      <c r="J1" s="2"/>
      <c r="K1" s="3"/>
      <c r="L1" s="3"/>
      <c r="M1" s="3"/>
      <c r="N1" s="3"/>
      <c r="O1" s="71"/>
      <c r="P1" s="71"/>
    </row>
    <row r="2" spans="1:16" ht="15.75" thickBot="1" x14ac:dyDescent="0.3">
      <c r="A2" s="20"/>
      <c r="B2" s="2"/>
      <c r="C2" s="2"/>
      <c r="D2" s="21"/>
      <c r="E2" s="3"/>
      <c r="F2" s="93" t="s">
        <v>10</v>
      </c>
      <c r="G2" s="94"/>
      <c r="H2" s="106">
        <v>42384</v>
      </c>
      <c r="I2" s="107"/>
      <c r="J2" s="4"/>
      <c r="K2" s="3"/>
      <c r="L2" s="3"/>
      <c r="M2" s="3"/>
      <c r="N2" s="3"/>
      <c r="O2" s="71"/>
      <c r="P2" s="71"/>
    </row>
    <row r="3" spans="1:16" x14ac:dyDescent="0.25">
      <c r="A3" s="20"/>
      <c r="B3" s="2"/>
      <c r="C3" s="2"/>
      <c r="D3" s="21"/>
      <c r="E3" s="3"/>
      <c r="F3" s="110" t="s">
        <v>194</v>
      </c>
      <c r="G3" s="111"/>
      <c r="H3" s="111"/>
      <c r="I3" s="112"/>
      <c r="J3" s="2"/>
      <c r="K3" s="3"/>
      <c r="L3" s="3"/>
      <c r="M3" s="3"/>
      <c r="N3" s="3"/>
      <c r="O3" s="71"/>
      <c r="P3" s="71"/>
    </row>
    <row r="4" spans="1:16" ht="15.75" thickBot="1" x14ac:dyDescent="0.3">
      <c r="A4" s="20"/>
      <c r="B4" s="2"/>
      <c r="C4" s="2"/>
      <c r="D4" s="21"/>
      <c r="E4" s="3"/>
      <c r="F4" s="113"/>
      <c r="G4" s="114"/>
      <c r="H4" s="114"/>
      <c r="I4" s="115"/>
      <c r="J4" s="2"/>
      <c r="K4" s="3"/>
      <c r="L4" s="3"/>
      <c r="M4" s="3"/>
      <c r="N4" s="3"/>
      <c r="O4" s="71"/>
      <c r="P4" s="71"/>
    </row>
    <row r="5" spans="1:16" ht="15.75" thickBot="1" x14ac:dyDescent="0.3">
      <c r="A5" s="20"/>
      <c r="B5" s="2"/>
      <c r="C5" s="2"/>
      <c r="D5" s="21"/>
      <c r="E5" s="3"/>
      <c r="F5" s="93" t="s">
        <v>11</v>
      </c>
      <c r="G5" s="94"/>
      <c r="H5" s="104" t="s">
        <v>195</v>
      </c>
      <c r="I5" s="105"/>
      <c r="J5" s="2"/>
      <c r="K5" s="3"/>
      <c r="L5" s="3"/>
      <c r="M5" s="3"/>
      <c r="N5" s="3"/>
      <c r="O5" s="71"/>
      <c r="P5" s="71"/>
    </row>
    <row r="6" spans="1:16" ht="15.75" thickBot="1" x14ac:dyDescent="0.3">
      <c r="A6" s="20"/>
      <c r="B6" s="2"/>
      <c r="C6" s="2"/>
      <c r="D6" s="21"/>
      <c r="E6" s="3"/>
      <c r="F6" s="93" t="s">
        <v>13</v>
      </c>
      <c r="G6" s="94"/>
      <c r="H6" s="104" t="s">
        <v>14</v>
      </c>
      <c r="I6" s="105"/>
      <c r="J6" s="2"/>
      <c r="K6" s="3"/>
      <c r="L6" s="3"/>
      <c r="M6" s="3"/>
      <c r="N6" s="3"/>
      <c r="O6" s="71"/>
      <c r="P6" s="71"/>
    </row>
    <row r="7" spans="1:16" ht="15.75" thickBot="1" x14ac:dyDescent="0.3">
      <c r="A7" s="96" t="s">
        <v>189</v>
      </c>
      <c r="B7" s="97"/>
      <c r="C7" s="98"/>
      <c r="D7" s="13" t="s">
        <v>190</v>
      </c>
      <c r="E7" s="3"/>
      <c r="F7" s="116" t="s">
        <v>12</v>
      </c>
      <c r="G7" s="103"/>
      <c r="H7" s="102" t="s">
        <v>211</v>
      </c>
      <c r="I7" s="103"/>
      <c r="J7" s="2"/>
      <c r="K7" s="3"/>
      <c r="L7" s="3"/>
      <c r="M7" s="3"/>
      <c r="N7" s="3"/>
      <c r="O7" s="71"/>
      <c r="P7" s="71"/>
    </row>
    <row r="8" spans="1:16" ht="15.75" thickBot="1" x14ac:dyDescent="0.3">
      <c r="A8" s="99"/>
      <c r="B8" s="100"/>
      <c r="C8" s="101"/>
      <c r="D8" s="13" t="s">
        <v>185</v>
      </c>
      <c r="E8" s="3"/>
      <c r="F8" s="93" t="s">
        <v>191</v>
      </c>
      <c r="G8" s="94"/>
      <c r="H8" s="95" t="s">
        <v>196</v>
      </c>
      <c r="I8" s="94"/>
      <c r="J8" s="3"/>
      <c r="K8" s="3"/>
      <c r="L8" s="3"/>
      <c r="M8" s="3"/>
      <c r="N8" s="3"/>
      <c r="O8" s="71"/>
      <c r="P8" s="71"/>
    </row>
    <row r="9" spans="1:16" ht="15.75" thickBot="1" x14ac:dyDescent="0.3">
      <c r="A9" s="15"/>
      <c r="B9" s="16"/>
      <c r="C9" s="16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71"/>
      <c r="P9" s="71"/>
    </row>
    <row r="10" spans="1:16" ht="18" customHeight="1" thickBot="1" x14ac:dyDescent="0.3">
      <c r="A10" s="72" t="s">
        <v>0</v>
      </c>
      <c r="B10" s="84" t="s">
        <v>2</v>
      </c>
      <c r="C10" s="84" t="s">
        <v>3</v>
      </c>
      <c r="D10" s="90" t="s">
        <v>1</v>
      </c>
      <c r="E10" s="84" t="s">
        <v>15</v>
      </c>
      <c r="F10" s="87" t="s">
        <v>8</v>
      </c>
      <c r="G10" s="89"/>
      <c r="H10" s="89"/>
      <c r="I10" s="88"/>
      <c r="J10" s="84" t="s">
        <v>172</v>
      </c>
      <c r="K10" s="78" t="s">
        <v>236</v>
      </c>
      <c r="L10" s="79"/>
      <c r="M10" s="75" t="s">
        <v>193</v>
      </c>
      <c r="N10" s="62" t="s">
        <v>183</v>
      </c>
      <c r="O10" s="62" t="s">
        <v>184</v>
      </c>
      <c r="P10" s="65"/>
    </row>
    <row r="11" spans="1:16" ht="18" customHeight="1" thickBot="1" x14ac:dyDescent="0.3">
      <c r="A11" s="73"/>
      <c r="B11" s="85"/>
      <c r="C11" s="85"/>
      <c r="D11" s="91"/>
      <c r="E11" s="85"/>
      <c r="F11" s="87" t="s">
        <v>6</v>
      </c>
      <c r="G11" s="88"/>
      <c r="H11" s="87" t="s">
        <v>7</v>
      </c>
      <c r="I11" s="88"/>
      <c r="J11" s="85"/>
      <c r="K11" s="80"/>
      <c r="L11" s="81"/>
      <c r="M11" s="76"/>
      <c r="N11" s="63"/>
      <c r="O11" s="63"/>
      <c r="P11" s="66"/>
    </row>
    <row r="12" spans="1:16" ht="144.75" customHeight="1" thickBot="1" x14ac:dyDescent="0.3">
      <c r="A12" s="74"/>
      <c r="B12" s="86"/>
      <c r="C12" s="86"/>
      <c r="D12" s="92"/>
      <c r="E12" s="86"/>
      <c r="F12" s="12" t="s">
        <v>4</v>
      </c>
      <c r="G12" s="12" t="s">
        <v>5</v>
      </c>
      <c r="H12" s="12" t="s">
        <v>4</v>
      </c>
      <c r="I12" s="12" t="s">
        <v>5</v>
      </c>
      <c r="J12" s="86"/>
      <c r="K12" s="82"/>
      <c r="L12" s="83"/>
      <c r="M12" s="77"/>
      <c r="N12" s="64"/>
      <c r="O12" s="64"/>
      <c r="P12" s="67"/>
    </row>
    <row r="13" spans="1:16" s="58" customFormat="1" ht="15.75" thickBot="1" x14ac:dyDescent="0.3">
      <c r="A13" s="24" t="s">
        <v>197</v>
      </c>
      <c r="B13" s="59">
        <v>1</v>
      </c>
      <c r="C13" s="60"/>
      <c r="D13" s="8" t="s">
        <v>134</v>
      </c>
      <c r="E13" s="7" t="s">
        <v>210</v>
      </c>
      <c r="F13" s="7">
        <f>VLOOKUP($D13,Precios!$C$4:$J$91,2,FALSE)</f>
        <v>1400</v>
      </c>
      <c r="G13" s="7">
        <f>VLOOKUP($D13,Precios!$C$4:$J$91,3,FALSE)</f>
        <v>2000</v>
      </c>
      <c r="H13" s="7">
        <f>VLOOKUP($D13,Precios!$C$4:$J$91,4,FALSE)</f>
        <v>1500</v>
      </c>
      <c r="I13" s="7">
        <f>VLOOKUP($D13,Precios!$C$4:$J$91,5,FALSE)</f>
        <v>2050</v>
      </c>
      <c r="J13" s="9">
        <f>VLOOKUP($D13,Precios!$C$4:$J$91,8,FALSE)</f>
        <v>13700</v>
      </c>
      <c r="K13" s="10">
        <v>1</v>
      </c>
      <c r="L13" s="11">
        <f>IF(NOT(ISBLANK(K13)),PRODUCT(K13,VLOOKUP(K$10,Precios!$C$97:$J$133,8,FALSE)), "-")</f>
        <v>1210</v>
      </c>
      <c r="M13" s="11" t="s">
        <v>192</v>
      </c>
      <c r="N13" s="55">
        <f>SUMIFS(puertasItemsName,puertasItemsName,"&gt;150")</f>
        <v>14910</v>
      </c>
      <c r="O13" s="61">
        <f>PRODUCT(SUM(B13:C13),N13)</f>
        <v>14910</v>
      </c>
      <c r="P13" s="61"/>
    </row>
    <row r="14" spans="1:16" x14ac:dyDescent="0.25">
      <c r="A14" s="3"/>
      <c r="B14" s="3"/>
      <c r="C14" s="3"/>
      <c r="D14" s="5"/>
      <c r="E14" s="3"/>
      <c r="F14" s="3"/>
      <c r="G14" s="3"/>
      <c r="H14" s="3"/>
      <c r="I14" s="3"/>
      <c r="J14" s="3"/>
      <c r="K14" s="3"/>
      <c r="L14" s="3"/>
      <c r="M14" s="3"/>
      <c r="N14" s="6" t="s">
        <v>268</v>
      </c>
      <c r="O14" s="69">
        <f>SUM(subtotalRangeName)</f>
        <v>14910</v>
      </c>
      <c r="P14" s="69"/>
    </row>
    <row r="15" spans="1:16" x14ac:dyDescent="0.25">
      <c r="A15" s="3"/>
      <c r="B15" s="3"/>
      <c r="C15" s="3"/>
      <c r="D15" s="5"/>
      <c r="E15" s="3"/>
      <c r="F15" s="3"/>
      <c r="G15" s="3"/>
      <c r="H15" s="3"/>
      <c r="I15" s="3"/>
      <c r="J15" s="3"/>
      <c r="K15" s="3"/>
      <c r="L15" s="3"/>
      <c r="M15" s="3"/>
      <c r="N15" s="6" t="s">
        <v>267</v>
      </c>
      <c r="O15" s="56">
        <v>0.1</v>
      </c>
      <c r="P15" s="57">
        <f>PRODUCT(porcentajeDescuentoName,subtotalParcialName)</f>
        <v>1491</v>
      </c>
    </row>
    <row r="16" spans="1:16" s="54" customFormat="1" x14ac:dyDescent="0.25">
      <c r="A16" s="53"/>
      <c r="B16" s="53"/>
      <c r="C16" s="53"/>
      <c r="D16" s="5"/>
      <c r="E16" s="53"/>
      <c r="F16" s="53"/>
      <c r="G16" s="53"/>
      <c r="H16" s="53"/>
      <c r="I16" s="53"/>
      <c r="J16" s="53"/>
      <c r="K16" s="53"/>
      <c r="L16" s="53"/>
      <c r="M16" s="53"/>
      <c r="N16" s="6" t="s">
        <v>269</v>
      </c>
      <c r="O16" s="70">
        <f>SUM(subtotalParcialName, -descuentoTotalName)</f>
        <v>13419</v>
      </c>
      <c r="P16" s="70"/>
    </row>
    <row r="17" spans="1:16" x14ac:dyDescent="0.25">
      <c r="A17" s="3"/>
      <c r="B17" s="3"/>
      <c r="C17" s="3"/>
      <c r="D17" s="5"/>
      <c r="E17" s="3"/>
      <c r="F17" s="3"/>
      <c r="G17" s="3"/>
      <c r="H17" s="3"/>
      <c r="I17" s="3"/>
      <c r="J17" s="3"/>
      <c r="K17" s="3"/>
      <c r="L17" s="3"/>
      <c r="M17" s="3"/>
      <c r="N17" s="6" t="s">
        <v>186</v>
      </c>
      <c r="O17" s="69">
        <f>IF(descuentoTotalName &gt; 0, PRODUCT(subtotalConDescuentoName, 0.21), PRODUCT(subtotalParcialName, 0.21))</f>
        <v>2817.99</v>
      </c>
      <c r="P17" s="69"/>
    </row>
    <row r="18" spans="1:16" x14ac:dyDescent="0.25">
      <c r="A18" s="3"/>
      <c r="B18" s="3"/>
      <c r="C18" s="3"/>
      <c r="D18" s="5"/>
      <c r="E18" s="3"/>
      <c r="F18" s="3"/>
      <c r="G18" s="3"/>
      <c r="H18" s="3"/>
      <c r="I18" s="3"/>
      <c r="J18" s="3"/>
      <c r="K18" s="3"/>
      <c r="L18" s="3"/>
      <c r="M18" s="3"/>
      <c r="N18" s="6" t="s">
        <v>187</v>
      </c>
      <c r="O18" s="69">
        <f>SUM(subtotalConDescuentoName, -I.V.A)</f>
        <v>10601.01</v>
      </c>
      <c r="P18" s="69"/>
    </row>
    <row r="19" spans="1:16" x14ac:dyDescent="0.25">
      <c r="D19" s="1"/>
      <c r="O19" s="68"/>
      <c r="P19" s="68"/>
    </row>
    <row r="20" spans="1:16" x14ac:dyDescent="0.25">
      <c r="D20" s="1"/>
      <c r="O20" s="68"/>
      <c r="P20" s="68"/>
    </row>
    <row r="21" spans="1:16" x14ac:dyDescent="0.25">
      <c r="D21" s="1"/>
      <c r="O21" s="68"/>
      <c r="P21" s="68"/>
    </row>
    <row r="22" spans="1:16" x14ac:dyDescent="0.25">
      <c r="D22" s="1"/>
      <c r="O22" s="68"/>
      <c r="P22" s="68"/>
    </row>
    <row r="23" spans="1:16" x14ac:dyDescent="0.25">
      <c r="D23" s="1"/>
      <c r="O23" s="68"/>
      <c r="P23" s="68"/>
    </row>
    <row r="24" spans="1:16" x14ac:dyDescent="0.25">
      <c r="D24" s="1"/>
      <c r="O24" s="68"/>
      <c r="P24" s="68"/>
    </row>
    <row r="25" spans="1:16" x14ac:dyDescent="0.25">
      <c r="D25" s="1"/>
      <c r="O25" s="68"/>
      <c r="P25" s="68"/>
    </row>
    <row r="26" spans="1:16" x14ac:dyDescent="0.25">
      <c r="D26" s="1"/>
      <c r="O26" s="68"/>
      <c r="P26" s="68"/>
    </row>
  </sheetData>
  <autoFilter ref="A10:P18">
    <filterColumn colId="5" showButton="0"/>
    <filterColumn colId="6" showButton="0"/>
    <filterColumn colId="7" showButton="0"/>
    <filterColumn colId="10" showButton="0"/>
    <filterColumn colId="14" showButton="0"/>
  </autoFilter>
  <mergeCells count="50">
    <mergeCell ref="H8:I8"/>
    <mergeCell ref="A7:C8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O6:P6"/>
    <mergeCell ref="O7:P7"/>
    <mergeCell ref="O8:P8"/>
    <mergeCell ref="O9:P9"/>
    <mergeCell ref="A10:A12"/>
    <mergeCell ref="M10:M12"/>
    <mergeCell ref="K10:L12"/>
    <mergeCell ref="J10:J12"/>
    <mergeCell ref="F11:G11"/>
    <mergeCell ref="H11:I11"/>
    <mergeCell ref="F10:I10"/>
    <mergeCell ref="B10:B12"/>
    <mergeCell ref="C10:C12"/>
    <mergeCell ref="D10:D12"/>
    <mergeCell ref="E10:E12"/>
    <mergeCell ref="F8:G8"/>
    <mergeCell ref="O1:P1"/>
    <mergeCell ref="O2:P2"/>
    <mergeCell ref="O3:P3"/>
    <mergeCell ref="O4:P4"/>
    <mergeCell ref="O5:P5"/>
    <mergeCell ref="O26:P26"/>
    <mergeCell ref="O20:P20"/>
    <mergeCell ref="O21:P21"/>
    <mergeCell ref="O22:P22"/>
    <mergeCell ref="O23:P23"/>
    <mergeCell ref="O24:P24"/>
    <mergeCell ref="O25:P25"/>
    <mergeCell ref="O14:P14"/>
    <mergeCell ref="O17:P17"/>
    <mergeCell ref="O18:P18"/>
    <mergeCell ref="O19:P19"/>
    <mergeCell ref="O16:P16"/>
    <mergeCell ref="B13:C13"/>
    <mergeCell ref="O13:P13"/>
    <mergeCell ref="N10:N12"/>
    <mergeCell ref="O10:P12"/>
  </mergeCells>
  <dataValidations disablePrompts="1"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Agregar_Item">
                <anchor moveWithCells="1" sizeWithCells="1">
                  <from>
                    <xdr:col>9</xdr:col>
                    <xdr:colOff>66675</xdr:colOff>
                    <xdr:row>2</xdr:row>
                    <xdr:rowOff>161925</xdr:rowOff>
                  </from>
                  <to>
                    <xdr:col>9</xdr:col>
                    <xdr:colOff>571500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Quitar_Item">
                <anchor moveWithCells="1" siz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9</xdr:col>
                    <xdr:colOff>581025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Agregar_Puerta">
                <anchor moveWithCells="1" sizeWithCells="1">
                  <from>
                    <xdr:col>9</xdr:col>
                    <xdr:colOff>57150</xdr:colOff>
                    <xdr:row>5</xdr:row>
                    <xdr:rowOff>104775</xdr:rowOff>
                  </from>
                  <to>
                    <xdr:col>9</xdr:col>
                    <xdr:colOff>571500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Quitar_Puerta">
                <anchor moveWithCells="1" sizeWithCells="1">
                  <from>
                    <xdr:col>4</xdr:col>
                    <xdr:colOff>76200</xdr:colOff>
                    <xdr:row>4</xdr:row>
                    <xdr:rowOff>28575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Precios!$C$4:$C$91</xm:f>
          </x14:formula1>
          <xm:sqref>D14:D26</xm:sqref>
        </x14:dataValidation>
        <x14:dataValidation type="list" allowBlank="1" showInputMessage="1" showErrorMessage="1">
          <x14:formula1>
            <xm:f>Precios!$C$97:$C$126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34"/>
  <sheetViews>
    <sheetView topLeftCell="A61" workbookViewId="0">
      <selection activeCell="N108" sqref="N108"/>
    </sheetView>
  </sheetViews>
  <sheetFormatPr defaultColWidth="9.140625" defaultRowHeight="15" x14ac:dyDescent="0.25"/>
  <cols>
    <col min="1" max="1" width="11.7109375" style="41" customWidth="1"/>
    <col min="2" max="2" width="11.28515625" style="41" customWidth="1"/>
    <col min="3" max="3" width="43.85546875" style="47" customWidth="1"/>
    <col min="4" max="4" width="10.140625" style="3" customWidth="1"/>
    <col min="5" max="5" width="9.140625" style="3"/>
    <col min="6" max="6" width="10.42578125" style="3" customWidth="1"/>
    <col min="7" max="7" width="9.85546875" style="3" customWidth="1"/>
    <col min="8" max="9" width="2.140625" style="3" customWidth="1"/>
    <col min="10" max="10" width="20.28515625" style="3" customWidth="1"/>
  </cols>
  <sheetData>
    <row r="1" spans="1:12" x14ac:dyDescent="0.25">
      <c r="A1" s="117" t="s">
        <v>182</v>
      </c>
      <c r="B1" s="117"/>
      <c r="C1" s="117"/>
      <c r="D1" s="117"/>
      <c r="E1" s="117"/>
      <c r="F1" s="117"/>
      <c r="G1" s="117"/>
      <c r="H1" s="117"/>
      <c r="I1" s="117"/>
      <c r="J1" s="117"/>
    </row>
    <row r="2" spans="1:12" x14ac:dyDescent="0.25">
      <c r="A2" s="26" t="s">
        <v>181</v>
      </c>
      <c r="B2" s="26" t="s">
        <v>180</v>
      </c>
      <c r="C2" s="42" t="s">
        <v>179</v>
      </c>
      <c r="D2" s="27" t="s">
        <v>178</v>
      </c>
      <c r="E2" s="27" t="s">
        <v>177</v>
      </c>
      <c r="F2" s="27" t="s">
        <v>176</v>
      </c>
      <c r="G2" s="27" t="s">
        <v>175</v>
      </c>
      <c r="H2" s="27" t="s">
        <v>174</v>
      </c>
      <c r="I2" s="27" t="s">
        <v>173</v>
      </c>
      <c r="J2" s="27" t="s">
        <v>172</v>
      </c>
      <c r="L2" s="23"/>
    </row>
    <row r="3" spans="1:12" x14ac:dyDescent="0.25">
      <c r="A3" s="26" t="s">
        <v>199</v>
      </c>
      <c r="B3" s="26" t="s">
        <v>14</v>
      </c>
      <c r="C3" s="42" t="s">
        <v>202</v>
      </c>
      <c r="D3" s="28">
        <v>700</v>
      </c>
      <c r="E3" s="28">
        <v>2000</v>
      </c>
      <c r="F3" s="28">
        <f t="shared" ref="F3:F75" si="0">SUM($D3,100)</f>
        <v>800</v>
      </c>
      <c r="G3" s="28">
        <f t="shared" ref="G3:G75" si="1">SUM($E3,50)</f>
        <v>2050</v>
      </c>
      <c r="H3" s="28" t="s">
        <v>17</v>
      </c>
      <c r="I3" s="28"/>
      <c r="J3" s="33">
        <v>7400</v>
      </c>
    </row>
    <row r="4" spans="1:12" x14ac:dyDescent="0.25">
      <c r="A4" s="26" t="s">
        <v>171</v>
      </c>
      <c r="B4" s="26" t="s">
        <v>14</v>
      </c>
      <c r="C4" s="42" t="s">
        <v>203</v>
      </c>
      <c r="D4" s="28">
        <v>800</v>
      </c>
      <c r="E4" s="28">
        <v>2000</v>
      </c>
      <c r="F4" s="28">
        <f t="shared" si="0"/>
        <v>900</v>
      </c>
      <c r="G4" s="28">
        <f t="shared" si="1"/>
        <v>2050</v>
      </c>
      <c r="H4" s="28" t="s">
        <v>17</v>
      </c>
      <c r="I4" s="28"/>
      <c r="J4" s="33">
        <v>7400</v>
      </c>
    </row>
    <row r="5" spans="1:12" x14ac:dyDescent="0.25">
      <c r="A5" s="26" t="s">
        <v>170</v>
      </c>
      <c r="B5" s="26" t="s">
        <v>14</v>
      </c>
      <c r="C5" s="42" t="s">
        <v>204</v>
      </c>
      <c r="D5" s="28">
        <v>900</v>
      </c>
      <c r="E5" s="28">
        <v>2000</v>
      </c>
      <c r="F5" s="28">
        <f t="shared" si="0"/>
        <v>1000</v>
      </c>
      <c r="G5" s="28">
        <f t="shared" si="1"/>
        <v>2050</v>
      </c>
      <c r="H5" s="28" t="s">
        <v>17</v>
      </c>
      <c r="I5" s="28"/>
      <c r="J5" s="33">
        <v>8000</v>
      </c>
    </row>
    <row r="6" spans="1:12" x14ac:dyDescent="0.25">
      <c r="A6" s="26" t="s">
        <v>169</v>
      </c>
      <c r="B6" s="26" t="s">
        <v>14</v>
      </c>
      <c r="C6" s="42" t="s">
        <v>168</v>
      </c>
      <c r="D6" s="28">
        <v>1000</v>
      </c>
      <c r="E6" s="28">
        <v>2000</v>
      </c>
      <c r="F6" s="28">
        <f t="shared" si="0"/>
        <v>1100</v>
      </c>
      <c r="G6" s="28">
        <f t="shared" si="1"/>
        <v>2050</v>
      </c>
      <c r="H6" s="28" t="s">
        <v>17</v>
      </c>
      <c r="I6" s="28"/>
      <c r="J6" s="33">
        <v>8700</v>
      </c>
    </row>
    <row r="7" spans="1:12" x14ac:dyDescent="0.25">
      <c r="A7" s="26" t="s">
        <v>167</v>
      </c>
      <c r="B7" s="26" t="s">
        <v>14</v>
      </c>
      <c r="C7" s="42" t="s">
        <v>166</v>
      </c>
      <c r="D7" s="28">
        <v>1100</v>
      </c>
      <c r="E7" s="28">
        <v>2000</v>
      </c>
      <c r="F7" s="28">
        <f t="shared" si="0"/>
        <v>1200</v>
      </c>
      <c r="G7" s="28">
        <f t="shared" si="1"/>
        <v>2050</v>
      </c>
      <c r="H7" s="28" t="s">
        <v>17</v>
      </c>
      <c r="I7" s="28"/>
      <c r="J7" s="33">
        <v>9200</v>
      </c>
    </row>
    <row r="8" spans="1:12" x14ac:dyDescent="0.25">
      <c r="A8" s="26" t="s">
        <v>165</v>
      </c>
      <c r="B8" s="26" t="s">
        <v>14</v>
      </c>
      <c r="C8" s="42" t="s">
        <v>164</v>
      </c>
      <c r="D8" s="28">
        <v>1200</v>
      </c>
      <c r="E8" s="28">
        <v>2000</v>
      </c>
      <c r="F8" s="28">
        <f t="shared" si="0"/>
        <v>1300</v>
      </c>
      <c r="G8" s="28">
        <f t="shared" si="1"/>
        <v>2050</v>
      </c>
      <c r="H8" s="28"/>
      <c r="I8" s="28" t="s">
        <v>17</v>
      </c>
      <c r="J8" s="33">
        <v>9900</v>
      </c>
    </row>
    <row r="9" spans="1:12" x14ac:dyDescent="0.25">
      <c r="A9" s="26" t="s">
        <v>163</v>
      </c>
      <c r="B9" s="26" t="s">
        <v>14</v>
      </c>
      <c r="C9" s="42" t="s">
        <v>162</v>
      </c>
      <c r="D9" s="28">
        <v>1300</v>
      </c>
      <c r="E9" s="28">
        <v>2000</v>
      </c>
      <c r="F9" s="28">
        <f t="shared" si="0"/>
        <v>1400</v>
      </c>
      <c r="G9" s="28">
        <f t="shared" si="1"/>
        <v>2050</v>
      </c>
      <c r="H9" s="28"/>
      <c r="I9" s="28" t="s">
        <v>17</v>
      </c>
      <c r="J9" s="33">
        <v>11000</v>
      </c>
    </row>
    <row r="10" spans="1:12" x14ac:dyDescent="0.25">
      <c r="A10" s="26" t="s">
        <v>161</v>
      </c>
      <c r="B10" s="26" t="s">
        <v>14</v>
      </c>
      <c r="C10" s="42" t="s">
        <v>160</v>
      </c>
      <c r="D10" s="28">
        <v>1400</v>
      </c>
      <c r="E10" s="28">
        <v>2000</v>
      </c>
      <c r="F10" s="28">
        <f t="shared" si="0"/>
        <v>1500</v>
      </c>
      <c r="G10" s="28">
        <f t="shared" si="1"/>
        <v>2050</v>
      </c>
      <c r="H10" s="28"/>
      <c r="I10" s="28" t="s">
        <v>17</v>
      </c>
      <c r="J10" s="33">
        <v>12100</v>
      </c>
    </row>
    <row r="11" spans="1:12" x14ac:dyDescent="0.25">
      <c r="A11" s="26" t="s">
        <v>159</v>
      </c>
      <c r="B11" s="26" t="s">
        <v>14</v>
      </c>
      <c r="C11" s="42" t="s">
        <v>158</v>
      </c>
      <c r="D11" s="28">
        <v>1500</v>
      </c>
      <c r="E11" s="28">
        <v>2000</v>
      </c>
      <c r="F11" s="28">
        <f t="shared" si="0"/>
        <v>1600</v>
      </c>
      <c r="G11" s="28">
        <f t="shared" si="1"/>
        <v>2050</v>
      </c>
      <c r="H11" s="28"/>
      <c r="I11" s="28" t="s">
        <v>17</v>
      </c>
      <c r="J11" s="33">
        <v>13200</v>
      </c>
    </row>
    <row r="12" spans="1:12" x14ac:dyDescent="0.25">
      <c r="A12" s="26" t="s">
        <v>157</v>
      </c>
      <c r="B12" s="26" t="s">
        <v>14</v>
      </c>
      <c r="C12" s="42" t="s">
        <v>156</v>
      </c>
      <c r="D12" s="28">
        <v>1600</v>
      </c>
      <c r="E12" s="28">
        <v>2000</v>
      </c>
      <c r="F12" s="28">
        <f t="shared" si="0"/>
        <v>1700</v>
      </c>
      <c r="G12" s="28">
        <f t="shared" si="1"/>
        <v>2050</v>
      </c>
      <c r="H12" s="28"/>
      <c r="I12" s="28" t="s">
        <v>17</v>
      </c>
      <c r="J12" s="33">
        <v>14300</v>
      </c>
    </row>
    <row r="13" spans="1:12" x14ac:dyDescent="0.25">
      <c r="A13" s="26" t="s">
        <v>155</v>
      </c>
      <c r="B13" s="26" t="s">
        <v>14</v>
      </c>
      <c r="C13" s="42" t="s">
        <v>154</v>
      </c>
      <c r="D13" s="28">
        <v>1700</v>
      </c>
      <c r="E13" s="28">
        <v>2000</v>
      </c>
      <c r="F13" s="28">
        <f t="shared" si="0"/>
        <v>1800</v>
      </c>
      <c r="G13" s="28">
        <f t="shared" si="1"/>
        <v>2050</v>
      </c>
      <c r="H13" s="28"/>
      <c r="I13" s="28" t="s">
        <v>17</v>
      </c>
      <c r="J13" s="33">
        <v>15600</v>
      </c>
    </row>
    <row r="14" spans="1:12" x14ac:dyDescent="0.25">
      <c r="A14" s="26" t="s">
        <v>153</v>
      </c>
      <c r="B14" s="26" t="s">
        <v>14</v>
      </c>
      <c r="C14" s="42" t="s">
        <v>152</v>
      </c>
      <c r="D14" s="28">
        <v>1800</v>
      </c>
      <c r="E14" s="28">
        <v>2000</v>
      </c>
      <c r="F14" s="28">
        <f t="shared" si="0"/>
        <v>1900</v>
      </c>
      <c r="G14" s="28">
        <f t="shared" si="1"/>
        <v>2050</v>
      </c>
      <c r="H14" s="28"/>
      <c r="I14" s="28" t="s">
        <v>17</v>
      </c>
      <c r="J14" s="33">
        <v>16500</v>
      </c>
    </row>
    <row r="15" spans="1:12" x14ac:dyDescent="0.25">
      <c r="A15" s="26" t="s">
        <v>151</v>
      </c>
      <c r="B15" s="26" t="s">
        <v>14</v>
      </c>
      <c r="C15" s="42" t="s">
        <v>150</v>
      </c>
      <c r="D15" s="28">
        <v>1900</v>
      </c>
      <c r="E15" s="28">
        <v>2000</v>
      </c>
      <c r="F15" s="28">
        <f t="shared" si="0"/>
        <v>2000</v>
      </c>
      <c r="G15" s="28">
        <f t="shared" si="1"/>
        <v>2050</v>
      </c>
      <c r="H15" s="28"/>
      <c r="I15" s="28" t="s">
        <v>17</v>
      </c>
      <c r="J15" s="33">
        <v>17700</v>
      </c>
    </row>
    <row r="16" spans="1:12" x14ac:dyDescent="0.25">
      <c r="A16" s="26" t="s">
        <v>149</v>
      </c>
      <c r="B16" s="26" t="s">
        <v>14</v>
      </c>
      <c r="C16" s="42" t="s">
        <v>148</v>
      </c>
      <c r="D16" s="28">
        <v>2000</v>
      </c>
      <c r="E16" s="28">
        <v>2000</v>
      </c>
      <c r="F16" s="28">
        <f>SUM($D16,100)</f>
        <v>2100</v>
      </c>
      <c r="G16" s="28">
        <f>SUM($E16,50)</f>
        <v>2050</v>
      </c>
      <c r="H16" s="28"/>
      <c r="I16" s="28" t="s">
        <v>17</v>
      </c>
      <c r="J16" s="33">
        <v>18700</v>
      </c>
    </row>
    <row r="17" spans="1:10" x14ac:dyDescent="0.25">
      <c r="A17" s="26" t="s">
        <v>239</v>
      </c>
      <c r="B17" s="26" t="s">
        <v>14</v>
      </c>
      <c r="C17" s="42" t="s">
        <v>240</v>
      </c>
      <c r="D17" s="28">
        <v>2100</v>
      </c>
      <c r="E17" s="28">
        <v>2000</v>
      </c>
      <c r="F17" s="28">
        <f>SUM($D17,100)</f>
        <v>2200</v>
      </c>
      <c r="G17" s="28">
        <f>SUM($E17,50)</f>
        <v>2050</v>
      </c>
      <c r="H17" s="28"/>
      <c r="I17" s="28" t="s">
        <v>17</v>
      </c>
      <c r="J17" s="33">
        <v>23400</v>
      </c>
    </row>
    <row r="18" spans="1:10" x14ac:dyDescent="0.25">
      <c r="A18" s="26" t="s">
        <v>200</v>
      </c>
      <c r="B18" s="26" t="s">
        <v>14</v>
      </c>
      <c r="C18" s="42" t="s">
        <v>201</v>
      </c>
      <c r="D18" s="28">
        <v>700</v>
      </c>
      <c r="E18" s="28">
        <v>2000</v>
      </c>
      <c r="F18" s="28">
        <f t="shared" si="0"/>
        <v>800</v>
      </c>
      <c r="G18" s="28">
        <f t="shared" si="1"/>
        <v>2050</v>
      </c>
      <c r="H18" s="28" t="s">
        <v>17</v>
      </c>
      <c r="I18" s="28"/>
      <c r="J18" s="33">
        <v>7900</v>
      </c>
    </row>
    <row r="19" spans="1:10" x14ac:dyDescent="0.25">
      <c r="A19" s="26" t="s">
        <v>147</v>
      </c>
      <c r="B19" s="26" t="s">
        <v>14</v>
      </c>
      <c r="C19" s="42" t="s">
        <v>146</v>
      </c>
      <c r="D19" s="28">
        <v>800</v>
      </c>
      <c r="E19" s="28">
        <v>2000</v>
      </c>
      <c r="F19" s="28">
        <f t="shared" si="0"/>
        <v>900</v>
      </c>
      <c r="G19" s="28">
        <f t="shared" si="1"/>
        <v>2050</v>
      </c>
      <c r="H19" s="28" t="s">
        <v>17</v>
      </c>
      <c r="I19" s="28"/>
      <c r="J19" s="33">
        <v>7900</v>
      </c>
    </row>
    <row r="20" spans="1:10" x14ac:dyDescent="0.25">
      <c r="A20" s="26" t="s">
        <v>145</v>
      </c>
      <c r="B20" s="26" t="s">
        <v>14</v>
      </c>
      <c r="C20" s="42" t="s">
        <v>144</v>
      </c>
      <c r="D20" s="28">
        <v>900</v>
      </c>
      <c r="E20" s="28">
        <v>2000</v>
      </c>
      <c r="F20" s="28">
        <f t="shared" si="0"/>
        <v>1000</v>
      </c>
      <c r="G20" s="28">
        <f t="shared" si="1"/>
        <v>2050</v>
      </c>
      <c r="H20" s="28" t="s">
        <v>17</v>
      </c>
      <c r="I20" s="28"/>
      <c r="J20" s="33">
        <v>8500</v>
      </c>
    </row>
    <row r="21" spans="1:10" x14ac:dyDescent="0.25">
      <c r="A21" s="26" t="s">
        <v>143</v>
      </c>
      <c r="B21" s="26" t="s">
        <v>14</v>
      </c>
      <c r="C21" s="42" t="s">
        <v>142</v>
      </c>
      <c r="D21" s="28">
        <v>1000</v>
      </c>
      <c r="E21" s="28">
        <v>2000</v>
      </c>
      <c r="F21" s="28">
        <f t="shared" si="0"/>
        <v>1100</v>
      </c>
      <c r="G21" s="28">
        <f t="shared" si="1"/>
        <v>2050</v>
      </c>
      <c r="H21" s="28" t="s">
        <v>17</v>
      </c>
      <c r="I21" s="28"/>
      <c r="J21" s="33">
        <v>9100</v>
      </c>
    </row>
    <row r="22" spans="1:10" x14ac:dyDescent="0.25">
      <c r="A22" s="26" t="s">
        <v>141</v>
      </c>
      <c r="B22" s="26" t="s">
        <v>14</v>
      </c>
      <c r="C22" s="42" t="s">
        <v>140</v>
      </c>
      <c r="D22" s="28">
        <v>1100</v>
      </c>
      <c r="E22" s="28">
        <v>2000</v>
      </c>
      <c r="F22" s="28">
        <f t="shared" si="0"/>
        <v>1200</v>
      </c>
      <c r="G22" s="28">
        <f t="shared" si="1"/>
        <v>2050</v>
      </c>
      <c r="H22" s="28" t="s">
        <v>17</v>
      </c>
      <c r="I22" s="28"/>
      <c r="J22" s="33">
        <v>9700</v>
      </c>
    </row>
    <row r="23" spans="1:10" x14ac:dyDescent="0.25">
      <c r="A23" s="26" t="s">
        <v>139</v>
      </c>
      <c r="B23" s="26" t="s">
        <v>14</v>
      </c>
      <c r="C23" s="42" t="s">
        <v>138</v>
      </c>
      <c r="D23" s="28">
        <v>1200</v>
      </c>
      <c r="E23" s="28">
        <v>2000</v>
      </c>
      <c r="F23" s="28">
        <f t="shared" si="0"/>
        <v>1300</v>
      </c>
      <c r="G23" s="28">
        <f t="shared" si="1"/>
        <v>2050</v>
      </c>
      <c r="H23" s="28"/>
      <c r="I23" s="28" t="s">
        <v>17</v>
      </c>
      <c r="J23" s="33">
        <v>11500</v>
      </c>
    </row>
    <row r="24" spans="1:10" x14ac:dyDescent="0.25">
      <c r="A24" s="26" t="s">
        <v>137</v>
      </c>
      <c r="B24" s="26" t="s">
        <v>14</v>
      </c>
      <c r="C24" s="42" t="s">
        <v>136</v>
      </c>
      <c r="D24" s="28">
        <v>1300</v>
      </c>
      <c r="E24" s="28">
        <v>2000</v>
      </c>
      <c r="F24" s="28">
        <f t="shared" si="0"/>
        <v>1400</v>
      </c>
      <c r="G24" s="28">
        <f t="shared" si="1"/>
        <v>2050</v>
      </c>
      <c r="H24" s="28"/>
      <c r="I24" s="28" t="s">
        <v>17</v>
      </c>
      <c r="J24" s="33">
        <v>12600</v>
      </c>
    </row>
    <row r="25" spans="1:10" x14ac:dyDescent="0.25">
      <c r="A25" s="26" t="s">
        <v>135</v>
      </c>
      <c r="B25" s="26" t="s">
        <v>14</v>
      </c>
      <c r="C25" s="42" t="s">
        <v>134</v>
      </c>
      <c r="D25" s="28">
        <v>1400</v>
      </c>
      <c r="E25" s="28">
        <v>2000</v>
      </c>
      <c r="F25" s="28">
        <f t="shared" si="0"/>
        <v>1500</v>
      </c>
      <c r="G25" s="28">
        <f t="shared" si="1"/>
        <v>2050</v>
      </c>
      <c r="H25" s="28"/>
      <c r="I25" s="28" t="s">
        <v>17</v>
      </c>
      <c r="J25" s="33">
        <v>13700</v>
      </c>
    </row>
    <row r="26" spans="1:10" x14ac:dyDescent="0.25">
      <c r="A26" s="26" t="s">
        <v>133</v>
      </c>
      <c r="B26" s="26" t="s">
        <v>14</v>
      </c>
      <c r="C26" s="42" t="s">
        <v>132</v>
      </c>
      <c r="D26" s="28">
        <v>1500</v>
      </c>
      <c r="E26" s="28">
        <v>2000</v>
      </c>
      <c r="F26" s="28">
        <f t="shared" si="0"/>
        <v>1600</v>
      </c>
      <c r="G26" s="28">
        <f t="shared" si="1"/>
        <v>2050</v>
      </c>
      <c r="H26" s="28"/>
      <c r="I26" s="28" t="s">
        <v>17</v>
      </c>
      <c r="J26" s="33">
        <v>14800</v>
      </c>
    </row>
    <row r="27" spans="1:10" x14ac:dyDescent="0.25">
      <c r="A27" s="26" t="s">
        <v>131</v>
      </c>
      <c r="B27" s="26" t="s">
        <v>14</v>
      </c>
      <c r="C27" s="42" t="s">
        <v>130</v>
      </c>
      <c r="D27" s="28">
        <v>1600</v>
      </c>
      <c r="E27" s="28">
        <v>2000</v>
      </c>
      <c r="F27" s="28">
        <f t="shared" si="0"/>
        <v>1700</v>
      </c>
      <c r="G27" s="28">
        <f t="shared" si="1"/>
        <v>2050</v>
      </c>
      <c r="H27" s="28"/>
      <c r="I27" s="28" t="s">
        <v>17</v>
      </c>
      <c r="J27" s="33">
        <v>15900</v>
      </c>
    </row>
    <row r="28" spans="1:10" x14ac:dyDescent="0.25">
      <c r="A28" s="26" t="s">
        <v>129</v>
      </c>
      <c r="B28" s="26" t="s">
        <v>14</v>
      </c>
      <c r="C28" s="42" t="s">
        <v>128</v>
      </c>
      <c r="D28" s="28">
        <v>1700</v>
      </c>
      <c r="E28" s="28">
        <v>2000</v>
      </c>
      <c r="F28" s="28">
        <f t="shared" si="0"/>
        <v>1800</v>
      </c>
      <c r="G28" s="28">
        <f t="shared" si="1"/>
        <v>2050</v>
      </c>
      <c r="H28" s="28"/>
      <c r="I28" s="28" t="s">
        <v>17</v>
      </c>
      <c r="J28" s="33">
        <v>17000</v>
      </c>
    </row>
    <row r="29" spans="1:10" x14ac:dyDescent="0.25">
      <c r="A29" s="26" t="s">
        <v>127</v>
      </c>
      <c r="B29" s="26" t="s">
        <v>14</v>
      </c>
      <c r="C29" s="42" t="s">
        <v>126</v>
      </c>
      <c r="D29" s="28">
        <v>1800</v>
      </c>
      <c r="E29" s="28">
        <v>2000</v>
      </c>
      <c r="F29" s="28">
        <f t="shared" si="0"/>
        <v>1900</v>
      </c>
      <c r="G29" s="28">
        <f t="shared" si="1"/>
        <v>2050</v>
      </c>
      <c r="H29" s="28"/>
      <c r="I29" s="28" t="s">
        <v>17</v>
      </c>
      <c r="J29" s="33">
        <v>18100</v>
      </c>
    </row>
    <row r="30" spans="1:10" x14ac:dyDescent="0.25">
      <c r="A30" s="26" t="s">
        <v>125</v>
      </c>
      <c r="B30" s="26" t="s">
        <v>14</v>
      </c>
      <c r="C30" s="42" t="s">
        <v>124</v>
      </c>
      <c r="D30" s="28">
        <v>1900</v>
      </c>
      <c r="E30" s="28">
        <v>2000</v>
      </c>
      <c r="F30" s="28">
        <f t="shared" si="0"/>
        <v>2000</v>
      </c>
      <c r="G30" s="28">
        <f t="shared" si="1"/>
        <v>2050</v>
      </c>
      <c r="H30" s="28"/>
      <c r="I30" s="28" t="s">
        <v>17</v>
      </c>
      <c r="J30" s="33">
        <v>19200</v>
      </c>
    </row>
    <row r="31" spans="1:10" x14ac:dyDescent="0.25">
      <c r="A31" s="26" t="s">
        <v>123</v>
      </c>
      <c r="B31" s="26" t="s">
        <v>14</v>
      </c>
      <c r="C31" s="42" t="s">
        <v>122</v>
      </c>
      <c r="D31" s="28">
        <v>2000</v>
      </c>
      <c r="E31" s="28">
        <v>2000</v>
      </c>
      <c r="F31" s="28">
        <f t="shared" si="0"/>
        <v>2100</v>
      </c>
      <c r="G31" s="28">
        <f t="shared" si="1"/>
        <v>2050</v>
      </c>
      <c r="H31" s="28"/>
      <c r="I31" s="28" t="s">
        <v>17</v>
      </c>
      <c r="J31" s="33">
        <v>20300</v>
      </c>
    </row>
    <row r="32" spans="1:10" x14ac:dyDescent="0.25">
      <c r="A32" s="26" t="s">
        <v>241</v>
      </c>
      <c r="B32" s="26" t="s">
        <v>14</v>
      </c>
      <c r="C32" s="42" t="s">
        <v>242</v>
      </c>
      <c r="D32" s="28">
        <v>2100</v>
      </c>
      <c r="E32" s="28">
        <v>2000</v>
      </c>
      <c r="F32" s="28">
        <f t="shared" si="0"/>
        <v>2200</v>
      </c>
      <c r="G32" s="28">
        <f t="shared" si="1"/>
        <v>2050</v>
      </c>
      <c r="H32" s="28"/>
      <c r="I32" s="28" t="s">
        <v>17</v>
      </c>
      <c r="J32" s="33">
        <v>21400</v>
      </c>
    </row>
    <row r="33" spans="1:10" x14ac:dyDescent="0.25">
      <c r="A33" s="26" t="s">
        <v>205</v>
      </c>
      <c r="B33" s="26" t="s">
        <v>14</v>
      </c>
      <c r="C33" s="42" t="s">
        <v>206</v>
      </c>
      <c r="D33" s="28">
        <v>800</v>
      </c>
      <c r="E33" s="28">
        <v>2000</v>
      </c>
      <c r="F33" s="28">
        <f t="shared" si="0"/>
        <v>900</v>
      </c>
      <c r="G33" s="28">
        <f t="shared" si="1"/>
        <v>2050</v>
      </c>
      <c r="H33" s="28" t="s">
        <v>17</v>
      </c>
      <c r="I33" s="28"/>
      <c r="J33" s="34">
        <v>14400</v>
      </c>
    </row>
    <row r="34" spans="1:10" x14ac:dyDescent="0.25">
      <c r="A34" s="26" t="s">
        <v>121</v>
      </c>
      <c r="B34" s="26" t="s">
        <v>14</v>
      </c>
      <c r="C34" s="42" t="s">
        <v>120</v>
      </c>
      <c r="D34" s="28">
        <v>800</v>
      </c>
      <c r="E34" s="28">
        <v>2000</v>
      </c>
      <c r="F34" s="28">
        <f t="shared" si="0"/>
        <v>900</v>
      </c>
      <c r="G34" s="28">
        <f t="shared" si="1"/>
        <v>2050</v>
      </c>
      <c r="H34" s="28" t="s">
        <v>17</v>
      </c>
      <c r="I34" s="28"/>
      <c r="J34" s="34">
        <v>14400</v>
      </c>
    </row>
    <row r="35" spans="1:10" x14ac:dyDescent="0.25">
      <c r="A35" s="26" t="s">
        <v>119</v>
      </c>
      <c r="B35" s="26" t="s">
        <v>14</v>
      </c>
      <c r="C35" s="42" t="s">
        <v>118</v>
      </c>
      <c r="D35" s="28">
        <v>900</v>
      </c>
      <c r="E35" s="28">
        <v>2000</v>
      </c>
      <c r="F35" s="28">
        <f t="shared" si="0"/>
        <v>1000</v>
      </c>
      <c r="G35" s="28">
        <f t="shared" si="1"/>
        <v>2050</v>
      </c>
      <c r="H35" s="28" t="s">
        <v>17</v>
      </c>
      <c r="I35" s="28"/>
      <c r="J35" s="34">
        <v>15500</v>
      </c>
    </row>
    <row r="36" spans="1:10" x14ac:dyDescent="0.25">
      <c r="A36" s="26" t="s">
        <v>117</v>
      </c>
      <c r="B36" s="26" t="s">
        <v>14</v>
      </c>
      <c r="C36" s="42" t="s">
        <v>116</v>
      </c>
      <c r="D36" s="28">
        <v>1000</v>
      </c>
      <c r="E36" s="28">
        <v>2000</v>
      </c>
      <c r="F36" s="28">
        <f t="shared" si="0"/>
        <v>1100</v>
      </c>
      <c r="G36" s="28">
        <f t="shared" si="1"/>
        <v>2050</v>
      </c>
      <c r="H36" s="28" t="s">
        <v>17</v>
      </c>
      <c r="I36" s="28"/>
      <c r="J36" s="34">
        <v>16500</v>
      </c>
    </row>
    <row r="37" spans="1:10" x14ac:dyDescent="0.25">
      <c r="A37" s="26" t="s">
        <v>115</v>
      </c>
      <c r="B37" s="26" t="s">
        <v>14</v>
      </c>
      <c r="C37" s="42" t="s">
        <v>114</v>
      </c>
      <c r="D37" s="28">
        <v>1100</v>
      </c>
      <c r="E37" s="28">
        <v>2000</v>
      </c>
      <c r="F37" s="28">
        <f t="shared" si="0"/>
        <v>1200</v>
      </c>
      <c r="G37" s="28">
        <f t="shared" si="1"/>
        <v>2050</v>
      </c>
      <c r="H37" s="28" t="s">
        <v>17</v>
      </c>
      <c r="I37" s="28"/>
      <c r="J37" s="34">
        <v>17650</v>
      </c>
    </row>
    <row r="38" spans="1:10" x14ac:dyDescent="0.25">
      <c r="A38" s="26" t="s">
        <v>113</v>
      </c>
      <c r="B38" s="26" t="s">
        <v>14</v>
      </c>
      <c r="C38" s="42" t="s">
        <v>112</v>
      </c>
      <c r="D38" s="28">
        <v>1200</v>
      </c>
      <c r="E38" s="28">
        <v>2000</v>
      </c>
      <c r="F38" s="28">
        <f t="shared" si="0"/>
        <v>1300</v>
      </c>
      <c r="G38" s="28">
        <f t="shared" si="1"/>
        <v>2050</v>
      </c>
      <c r="H38" s="28"/>
      <c r="I38" s="28" t="s">
        <v>17</v>
      </c>
      <c r="J38" s="34">
        <v>19800</v>
      </c>
    </row>
    <row r="39" spans="1:10" x14ac:dyDescent="0.25">
      <c r="A39" s="26" t="s">
        <v>111</v>
      </c>
      <c r="B39" s="26" t="s">
        <v>14</v>
      </c>
      <c r="C39" s="42" t="s">
        <v>110</v>
      </c>
      <c r="D39" s="28">
        <v>1300</v>
      </c>
      <c r="E39" s="28">
        <v>2000</v>
      </c>
      <c r="F39" s="28">
        <f t="shared" si="0"/>
        <v>1400</v>
      </c>
      <c r="G39" s="28">
        <f t="shared" si="1"/>
        <v>2050</v>
      </c>
      <c r="H39" s="28"/>
      <c r="I39" s="28" t="s">
        <v>17</v>
      </c>
      <c r="J39" s="34">
        <v>21900</v>
      </c>
    </row>
    <row r="40" spans="1:10" x14ac:dyDescent="0.25">
      <c r="A40" s="26" t="s">
        <v>109</v>
      </c>
      <c r="B40" s="26" t="s">
        <v>14</v>
      </c>
      <c r="C40" s="42" t="s">
        <v>108</v>
      </c>
      <c r="D40" s="28">
        <v>1400</v>
      </c>
      <c r="E40" s="28">
        <v>2000</v>
      </c>
      <c r="F40" s="28">
        <f t="shared" si="0"/>
        <v>1500</v>
      </c>
      <c r="G40" s="28">
        <f t="shared" si="1"/>
        <v>2050</v>
      </c>
      <c r="H40" s="28"/>
      <c r="I40" s="28" t="s">
        <v>17</v>
      </c>
      <c r="J40" s="34">
        <v>24100</v>
      </c>
    </row>
    <row r="41" spans="1:10" x14ac:dyDescent="0.25">
      <c r="A41" s="26" t="s">
        <v>107</v>
      </c>
      <c r="B41" s="26" t="s">
        <v>14</v>
      </c>
      <c r="C41" s="42" t="s">
        <v>106</v>
      </c>
      <c r="D41" s="28">
        <v>1500</v>
      </c>
      <c r="E41" s="28">
        <v>2000</v>
      </c>
      <c r="F41" s="28">
        <f t="shared" si="0"/>
        <v>1600</v>
      </c>
      <c r="G41" s="28">
        <f t="shared" si="1"/>
        <v>2050</v>
      </c>
      <c r="H41" s="28"/>
      <c r="I41" s="28" t="s">
        <v>17</v>
      </c>
      <c r="J41" s="34">
        <v>26300</v>
      </c>
    </row>
    <row r="42" spans="1:10" x14ac:dyDescent="0.25">
      <c r="A42" s="26" t="s">
        <v>105</v>
      </c>
      <c r="B42" s="26" t="s">
        <v>14</v>
      </c>
      <c r="C42" s="42" t="s">
        <v>104</v>
      </c>
      <c r="D42" s="28">
        <v>1600</v>
      </c>
      <c r="E42" s="28">
        <v>2000</v>
      </c>
      <c r="F42" s="28">
        <f t="shared" si="0"/>
        <v>1700</v>
      </c>
      <c r="G42" s="28">
        <f t="shared" si="1"/>
        <v>2050</v>
      </c>
      <c r="H42" s="28"/>
      <c r="I42" s="28" t="s">
        <v>17</v>
      </c>
      <c r="J42" s="34">
        <v>28500</v>
      </c>
    </row>
    <row r="43" spans="1:10" x14ac:dyDescent="0.25">
      <c r="A43" s="26" t="s">
        <v>103</v>
      </c>
      <c r="B43" s="26" t="s">
        <v>14</v>
      </c>
      <c r="C43" s="42" t="s">
        <v>102</v>
      </c>
      <c r="D43" s="28">
        <v>1700</v>
      </c>
      <c r="E43" s="28">
        <v>2000</v>
      </c>
      <c r="F43" s="28">
        <f t="shared" si="0"/>
        <v>1800</v>
      </c>
      <c r="G43" s="28">
        <f t="shared" si="1"/>
        <v>2050</v>
      </c>
      <c r="H43" s="28"/>
      <c r="I43" s="28" t="s">
        <v>17</v>
      </c>
      <c r="J43" s="34">
        <v>30600</v>
      </c>
    </row>
    <row r="44" spans="1:10" x14ac:dyDescent="0.25">
      <c r="A44" s="26" t="s">
        <v>101</v>
      </c>
      <c r="B44" s="26" t="s">
        <v>14</v>
      </c>
      <c r="C44" s="42" t="s">
        <v>100</v>
      </c>
      <c r="D44" s="28">
        <v>1800</v>
      </c>
      <c r="E44" s="28">
        <v>2000</v>
      </c>
      <c r="F44" s="28">
        <f t="shared" si="0"/>
        <v>1900</v>
      </c>
      <c r="G44" s="28">
        <f t="shared" si="1"/>
        <v>2050</v>
      </c>
      <c r="H44" s="28"/>
      <c r="I44" s="28" t="s">
        <v>17</v>
      </c>
      <c r="J44" s="34">
        <v>32800</v>
      </c>
    </row>
    <row r="45" spans="1:10" x14ac:dyDescent="0.25">
      <c r="A45" s="26" t="s">
        <v>99</v>
      </c>
      <c r="B45" s="26" t="s">
        <v>14</v>
      </c>
      <c r="C45" s="42" t="s">
        <v>98</v>
      </c>
      <c r="D45" s="28">
        <v>1900</v>
      </c>
      <c r="E45" s="28">
        <v>2000</v>
      </c>
      <c r="F45" s="28">
        <f t="shared" si="0"/>
        <v>2000</v>
      </c>
      <c r="G45" s="28">
        <f t="shared" si="1"/>
        <v>2050</v>
      </c>
      <c r="H45" s="28"/>
      <c r="I45" s="28" t="s">
        <v>17</v>
      </c>
      <c r="J45" s="34">
        <v>35000</v>
      </c>
    </row>
    <row r="46" spans="1:10" x14ac:dyDescent="0.25">
      <c r="A46" s="26" t="s">
        <v>97</v>
      </c>
      <c r="B46" s="26" t="s">
        <v>14</v>
      </c>
      <c r="C46" s="42" t="s">
        <v>96</v>
      </c>
      <c r="D46" s="28">
        <v>2000</v>
      </c>
      <c r="E46" s="28">
        <v>2000</v>
      </c>
      <c r="F46" s="28">
        <f t="shared" si="0"/>
        <v>2100</v>
      </c>
      <c r="G46" s="28">
        <f t="shared" si="1"/>
        <v>2050</v>
      </c>
      <c r="H46" s="28"/>
      <c r="I46" s="28" t="s">
        <v>17</v>
      </c>
      <c r="J46" s="34">
        <v>37300</v>
      </c>
    </row>
    <row r="47" spans="1:10" x14ac:dyDescent="0.25">
      <c r="A47" s="26" t="s">
        <v>115</v>
      </c>
      <c r="B47" s="26" t="s">
        <v>14</v>
      </c>
      <c r="C47" s="42" t="s">
        <v>243</v>
      </c>
      <c r="D47" s="28">
        <v>2100</v>
      </c>
      <c r="E47" s="28">
        <v>2000</v>
      </c>
      <c r="F47" s="28">
        <f t="shared" si="0"/>
        <v>2200</v>
      </c>
      <c r="G47" s="28">
        <f t="shared" si="1"/>
        <v>2050</v>
      </c>
      <c r="H47" s="28"/>
      <c r="I47" s="28" t="s">
        <v>17</v>
      </c>
      <c r="J47" s="34">
        <v>39400</v>
      </c>
    </row>
    <row r="48" spans="1:10" x14ac:dyDescent="0.25">
      <c r="A48" s="26" t="s">
        <v>95</v>
      </c>
      <c r="B48" s="26" t="s">
        <v>14</v>
      </c>
      <c r="C48" s="42" t="s">
        <v>207</v>
      </c>
      <c r="D48" s="28">
        <v>700</v>
      </c>
      <c r="E48" s="28">
        <v>2000</v>
      </c>
      <c r="F48" s="28">
        <f t="shared" si="0"/>
        <v>800</v>
      </c>
      <c r="G48" s="28">
        <f t="shared" si="1"/>
        <v>2050</v>
      </c>
      <c r="H48" s="28" t="s">
        <v>17</v>
      </c>
      <c r="I48" s="28"/>
      <c r="J48" s="34">
        <v>14900</v>
      </c>
    </row>
    <row r="49" spans="1:10" x14ac:dyDescent="0.25">
      <c r="A49" s="26" t="s">
        <v>95</v>
      </c>
      <c r="B49" s="26" t="s">
        <v>14</v>
      </c>
      <c r="C49" s="42" t="s">
        <v>94</v>
      </c>
      <c r="D49" s="28">
        <v>800</v>
      </c>
      <c r="E49" s="28">
        <v>2000</v>
      </c>
      <c r="F49" s="28">
        <f t="shared" si="0"/>
        <v>900</v>
      </c>
      <c r="G49" s="28">
        <f t="shared" si="1"/>
        <v>2050</v>
      </c>
      <c r="H49" s="28" t="s">
        <v>17</v>
      </c>
      <c r="I49" s="28"/>
      <c r="J49" s="34">
        <v>14900</v>
      </c>
    </row>
    <row r="50" spans="1:10" x14ac:dyDescent="0.25">
      <c r="A50" s="26" t="s">
        <v>93</v>
      </c>
      <c r="B50" s="26" t="s">
        <v>14</v>
      </c>
      <c r="C50" s="42" t="s">
        <v>92</v>
      </c>
      <c r="D50" s="28">
        <v>900</v>
      </c>
      <c r="E50" s="28">
        <v>2000</v>
      </c>
      <c r="F50" s="28">
        <f t="shared" si="0"/>
        <v>1000</v>
      </c>
      <c r="G50" s="28">
        <f t="shared" si="1"/>
        <v>2050</v>
      </c>
      <c r="H50" s="28" t="s">
        <v>17</v>
      </c>
      <c r="I50" s="28"/>
      <c r="J50" s="34">
        <v>15950</v>
      </c>
    </row>
    <row r="51" spans="1:10" x14ac:dyDescent="0.25">
      <c r="A51" s="26" t="s">
        <v>91</v>
      </c>
      <c r="B51" s="26" t="s">
        <v>14</v>
      </c>
      <c r="C51" s="42" t="s">
        <v>90</v>
      </c>
      <c r="D51" s="28">
        <v>1000</v>
      </c>
      <c r="E51" s="28">
        <v>2000</v>
      </c>
      <c r="F51" s="28">
        <f t="shared" si="0"/>
        <v>1100</v>
      </c>
      <c r="G51" s="28">
        <f t="shared" si="1"/>
        <v>2050</v>
      </c>
      <c r="H51" s="28" t="s">
        <v>17</v>
      </c>
      <c r="I51" s="28"/>
      <c r="J51" s="34">
        <v>17000</v>
      </c>
    </row>
    <row r="52" spans="1:10" x14ac:dyDescent="0.25">
      <c r="A52" s="26" t="s">
        <v>89</v>
      </c>
      <c r="B52" s="26" t="s">
        <v>14</v>
      </c>
      <c r="C52" s="42" t="s">
        <v>88</v>
      </c>
      <c r="D52" s="28">
        <v>1100</v>
      </c>
      <c r="E52" s="28">
        <v>2000</v>
      </c>
      <c r="F52" s="28">
        <f t="shared" si="0"/>
        <v>1200</v>
      </c>
      <c r="G52" s="28">
        <f t="shared" si="1"/>
        <v>2050</v>
      </c>
      <c r="H52" s="28" t="s">
        <v>17</v>
      </c>
      <c r="I52" s="28"/>
      <c r="J52" s="34">
        <v>18200</v>
      </c>
    </row>
    <row r="53" spans="1:10" x14ac:dyDescent="0.25">
      <c r="A53" s="26" t="s">
        <v>87</v>
      </c>
      <c r="B53" s="26" t="s">
        <v>14</v>
      </c>
      <c r="C53" s="42" t="s">
        <v>86</v>
      </c>
      <c r="D53" s="28">
        <v>1200</v>
      </c>
      <c r="E53" s="28">
        <v>2000</v>
      </c>
      <c r="F53" s="28">
        <f t="shared" si="0"/>
        <v>1300</v>
      </c>
      <c r="G53" s="28">
        <f t="shared" si="1"/>
        <v>2050</v>
      </c>
      <c r="H53" s="28"/>
      <c r="I53" s="28" t="s">
        <v>17</v>
      </c>
      <c r="J53" s="34">
        <v>21900</v>
      </c>
    </row>
    <row r="54" spans="1:10" x14ac:dyDescent="0.25">
      <c r="A54" s="26" t="s">
        <v>85</v>
      </c>
      <c r="B54" s="26" t="s">
        <v>14</v>
      </c>
      <c r="C54" s="42" t="s">
        <v>84</v>
      </c>
      <c r="D54" s="28">
        <v>1300</v>
      </c>
      <c r="E54" s="28">
        <v>2000</v>
      </c>
      <c r="F54" s="28">
        <f t="shared" si="0"/>
        <v>1400</v>
      </c>
      <c r="G54" s="28">
        <f t="shared" si="1"/>
        <v>2050</v>
      </c>
      <c r="H54" s="28"/>
      <c r="I54" s="28" t="s">
        <v>17</v>
      </c>
      <c r="J54" s="34">
        <v>24100</v>
      </c>
    </row>
    <row r="55" spans="1:10" x14ac:dyDescent="0.25">
      <c r="A55" s="26" t="s">
        <v>83</v>
      </c>
      <c r="B55" s="26" t="s">
        <v>14</v>
      </c>
      <c r="C55" s="42" t="s">
        <v>82</v>
      </c>
      <c r="D55" s="28">
        <v>1400</v>
      </c>
      <c r="E55" s="28">
        <v>2000</v>
      </c>
      <c r="F55" s="28">
        <f t="shared" si="0"/>
        <v>1500</v>
      </c>
      <c r="G55" s="28">
        <f t="shared" si="1"/>
        <v>2050</v>
      </c>
      <c r="H55" s="28"/>
      <c r="I55" s="28" t="s">
        <v>17</v>
      </c>
      <c r="J55" s="34">
        <v>26300</v>
      </c>
    </row>
    <row r="56" spans="1:10" x14ac:dyDescent="0.25">
      <c r="A56" s="26" t="s">
        <v>81</v>
      </c>
      <c r="B56" s="26" t="s">
        <v>14</v>
      </c>
      <c r="C56" s="42" t="s">
        <v>80</v>
      </c>
      <c r="D56" s="28">
        <v>1500</v>
      </c>
      <c r="E56" s="28">
        <v>2000</v>
      </c>
      <c r="F56" s="28">
        <f t="shared" si="0"/>
        <v>1600</v>
      </c>
      <c r="G56" s="28">
        <f t="shared" si="1"/>
        <v>2050</v>
      </c>
      <c r="H56" s="28"/>
      <c r="I56" s="28" t="s">
        <v>17</v>
      </c>
      <c r="J56" s="34">
        <v>28500</v>
      </c>
    </row>
    <row r="57" spans="1:10" x14ac:dyDescent="0.25">
      <c r="A57" s="26" t="s">
        <v>79</v>
      </c>
      <c r="B57" s="26" t="s">
        <v>14</v>
      </c>
      <c r="C57" s="42" t="s">
        <v>78</v>
      </c>
      <c r="D57" s="28">
        <v>1600</v>
      </c>
      <c r="E57" s="28">
        <v>2000</v>
      </c>
      <c r="F57" s="28">
        <f t="shared" si="0"/>
        <v>1700</v>
      </c>
      <c r="G57" s="28">
        <f t="shared" si="1"/>
        <v>2050</v>
      </c>
      <c r="H57" s="28"/>
      <c r="I57" s="28" t="s">
        <v>17</v>
      </c>
      <c r="J57" s="34">
        <v>30600</v>
      </c>
    </row>
    <row r="58" spans="1:10" x14ac:dyDescent="0.25">
      <c r="A58" s="26" t="s">
        <v>77</v>
      </c>
      <c r="B58" s="26" t="s">
        <v>14</v>
      </c>
      <c r="C58" s="42" t="s">
        <v>76</v>
      </c>
      <c r="D58" s="28">
        <v>1700</v>
      </c>
      <c r="E58" s="28">
        <v>2000</v>
      </c>
      <c r="F58" s="28">
        <f t="shared" si="0"/>
        <v>1800</v>
      </c>
      <c r="G58" s="28">
        <f t="shared" si="1"/>
        <v>2050</v>
      </c>
      <c r="H58" s="28"/>
      <c r="I58" s="28" t="s">
        <v>17</v>
      </c>
      <c r="J58" s="34">
        <v>32800</v>
      </c>
    </row>
    <row r="59" spans="1:10" x14ac:dyDescent="0.25">
      <c r="A59" s="26" t="s">
        <v>75</v>
      </c>
      <c r="B59" s="26" t="s">
        <v>14</v>
      </c>
      <c r="C59" s="42" t="s">
        <v>74</v>
      </c>
      <c r="D59" s="28">
        <v>1800</v>
      </c>
      <c r="E59" s="28">
        <v>2000</v>
      </c>
      <c r="F59" s="28">
        <f t="shared" si="0"/>
        <v>1900</v>
      </c>
      <c r="G59" s="28">
        <f t="shared" si="1"/>
        <v>2050</v>
      </c>
      <c r="H59" s="28"/>
      <c r="I59" s="28" t="s">
        <v>17</v>
      </c>
      <c r="J59" s="34">
        <v>34900</v>
      </c>
    </row>
    <row r="60" spans="1:10" x14ac:dyDescent="0.25">
      <c r="A60" s="26" t="s">
        <v>73</v>
      </c>
      <c r="B60" s="26" t="s">
        <v>14</v>
      </c>
      <c r="C60" s="42" t="s">
        <v>72</v>
      </c>
      <c r="D60" s="28">
        <v>1900</v>
      </c>
      <c r="E60" s="28">
        <v>2000</v>
      </c>
      <c r="F60" s="28">
        <f t="shared" si="0"/>
        <v>2000</v>
      </c>
      <c r="G60" s="28">
        <f t="shared" si="1"/>
        <v>2050</v>
      </c>
      <c r="H60" s="28"/>
      <c r="I60" s="28" t="s">
        <v>17</v>
      </c>
      <c r="J60" s="34">
        <v>37100</v>
      </c>
    </row>
    <row r="61" spans="1:10" x14ac:dyDescent="0.25">
      <c r="A61" s="26" t="s">
        <v>71</v>
      </c>
      <c r="B61" s="26" t="s">
        <v>14</v>
      </c>
      <c r="C61" s="42" t="s">
        <v>70</v>
      </c>
      <c r="D61" s="28">
        <v>2000</v>
      </c>
      <c r="E61" s="28">
        <v>2000</v>
      </c>
      <c r="F61" s="28">
        <f t="shared" si="0"/>
        <v>2100</v>
      </c>
      <c r="G61" s="28">
        <f t="shared" si="1"/>
        <v>2050</v>
      </c>
      <c r="H61" s="28"/>
      <c r="I61" s="28" t="s">
        <v>17</v>
      </c>
      <c r="J61" s="34">
        <v>39300</v>
      </c>
    </row>
    <row r="62" spans="1:10" x14ac:dyDescent="0.25">
      <c r="A62" s="26" t="s">
        <v>244</v>
      </c>
      <c r="B62" s="26" t="s">
        <v>14</v>
      </c>
      <c r="C62" s="42" t="s">
        <v>245</v>
      </c>
      <c r="D62" s="28">
        <v>2100</v>
      </c>
      <c r="E62" s="28">
        <v>2000</v>
      </c>
      <c r="F62" s="28">
        <f t="shared" si="0"/>
        <v>2200</v>
      </c>
      <c r="G62" s="28">
        <f t="shared" si="1"/>
        <v>2050</v>
      </c>
      <c r="H62" s="28"/>
      <c r="I62" s="28" t="s">
        <v>17</v>
      </c>
      <c r="J62" s="34">
        <v>41400</v>
      </c>
    </row>
    <row r="63" spans="1:10" x14ac:dyDescent="0.25">
      <c r="A63" s="26" t="s">
        <v>209</v>
      </c>
      <c r="B63" s="26" t="s">
        <v>14</v>
      </c>
      <c r="C63" s="42" t="s">
        <v>208</v>
      </c>
      <c r="D63" s="28">
        <v>700</v>
      </c>
      <c r="E63" s="28">
        <v>2000</v>
      </c>
      <c r="F63" s="28">
        <f t="shared" si="0"/>
        <v>800</v>
      </c>
      <c r="G63" s="28">
        <f t="shared" si="1"/>
        <v>2050</v>
      </c>
      <c r="H63" s="28" t="s">
        <v>17</v>
      </c>
      <c r="I63" s="28"/>
      <c r="J63" s="33">
        <v>7200</v>
      </c>
    </row>
    <row r="64" spans="1:10" x14ac:dyDescent="0.25">
      <c r="A64" s="26" t="s">
        <v>69</v>
      </c>
      <c r="B64" s="26" t="s">
        <v>14</v>
      </c>
      <c r="C64" s="42" t="s">
        <v>68</v>
      </c>
      <c r="D64" s="28">
        <v>800</v>
      </c>
      <c r="E64" s="28">
        <v>2000</v>
      </c>
      <c r="F64" s="28">
        <f t="shared" si="0"/>
        <v>900</v>
      </c>
      <c r="G64" s="28">
        <f t="shared" si="1"/>
        <v>2050</v>
      </c>
      <c r="H64" s="28" t="s">
        <v>17</v>
      </c>
      <c r="I64" s="28"/>
      <c r="J64" s="33">
        <v>7200</v>
      </c>
    </row>
    <row r="65" spans="1:10" x14ac:dyDescent="0.25">
      <c r="A65" s="26" t="s">
        <v>67</v>
      </c>
      <c r="B65" s="26" t="s">
        <v>14</v>
      </c>
      <c r="C65" s="42" t="s">
        <v>66</v>
      </c>
      <c r="D65" s="28">
        <v>900</v>
      </c>
      <c r="E65" s="28">
        <v>2000</v>
      </c>
      <c r="F65" s="28">
        <f t="shared" si="0"/>
        <v>1000</v>
      </c>
      <c r="G65" s="28">
        <f t="shared" si="1"/>
        <v>2050</v>
      </c>
      <c r="H65" s="28" t="s">
        <v>17</v>
      </c>
      <c r="I65" s="28"/>
      <c r="J65" s="33">
        <v>7900</v>
      </c>
    </row>
    <row r="66" spans="1:10" x14ac:dyDescent="0.25">
      <c r="A66" s="26" t="s">
        <v>65</v>
      </c>
      <c r="B66" s="26" t="s">
        <v>14</v>
      </c>
      <c r="C66" s="42" t="s">
        <v>64</v>
      </c>
      <c r="D66" s="28">
        <v>1000</v>
      </c>
      <c r="E66" s="28">
        <v>2000</v>
      </c>
      <c r="F66" s="28">
        <f t="shared" si="0"/>
        <v>1100</v>
      </c>
      <c r="G66" s="28">
        <f t="shared" si="1"/>
        <v>2050</v>
      </c>
      <c r="H66" s="28" t="s">
        <v>17</v>
      </c>
      <c r="I66" s="28"/>
      <c r="J66" s="33">
        <v>8300</v>
      </c>
    </row>
    <row r="67" spans="1:10" x14ac:dyDescent="0.25">
      <c r="A67" s="26" t="s">
        <v>63</v>
      </c>
      <c r="B67" s="26" t="s">
        <v>14</v>
      </c>
      <c r="C67" s="42" t="s">
        <v>62</v>
      </c>
      <c r="D67" s="28">
        <v>1100</v>
      </c>
      <c r="E67" s="28">
        <v>2000</v>
      </c>
      <c r="F67" s="28">
        <f t="shared" si="0"/>
        <v>1200</v>
      </c>
      <c r="G67" s="28">
        <f t="shared" si="1"/>
        <v>2050</v>
      </c>
      <c r="H67" s="28" t="s">
        <v>17</v>
      </c>
      <c r="I67" s="28"/>
      <c r="J67" s="33">
        <v>9000</v>
      </c>
    </row>
    <row r="68" spans="1:10" x14ac:dyDescent="0.25">
      <c r="A68" s="26" t="s">
        <v>61</v>
      </c>
      <c r="B68" s="26" t="s">
        <v>14</v>
      </c>
      <c r="C68" s="42" t="s">
        <v>60</v>
      </c>
      <c r="D68" s="28">
        <v>1200</v>
      </c>
      <c r="E68" s="28">
        <v>2000</v>
      </c>
      <c r="F68" s="28">
        <f t="shared" si="0"/>
        <v>1300</v>
      </c>
      <c r="G68" s="28">
        <f t="shared" si="1"/>
        <v>2050</v>
      </c>
      <c r="H68" s="28"/>
      <c r="I68" s="28" t="s">
        <v>17</v>
      </c>
      <c r="J68" s="33">
        <v>9800</v>
      </c>
    </row>
    <row r="69" spans="1:10" x14ac:dyDescent="0.25">
      <c r="A69" s="26" t="s">
        <v>59</v>
      </c>
      <c r="B69" s="26" t="s">
        <v>14</v>
      </c>
      <c r="C69" s="42" t="s">
        <v>58</v>
      </c>
      <c r="D69" s="28">
        <v>1300</v>
      </c>
      <c r="E69" s="28">
        <v>2000</v>
      </c>
      <c r="F69" s="28">
        <f t="shared" si="0"/>
        <v>1400</v>
      </c>
      <c r="G69" s="28">
        <f t="shared" si="1"/>
        <v>2050</v>
      </c>
      <c r="H69" s="28"/>
      <c r="I69" s="28" t="s">
        <v>17</v>
      </c>
      <c r="J69" s="33">
        <v>10700</v>
      </c>
    </row>
    <row r="70" spans="1:10" x14ac:dyDescent="0.25">
      <c r="A70" s="26" t="s">
        <v>57</v>
      </c>
      <c r="B70" s="26" t="s">
        <v>14</v>
      </c>
      <c r="C70" s="42" t="s">
        <v>56</v>
      </c>
      <c r="D70" s="28">
        <v>1400</v>
      </c>
      <c r="E70" s="28">
        <v>2000</v>
      </c>
      <c r="F70" s="28">
        <f t="shared" si="0"/>
        <v>1500</v>
      </c>
      <c r="G70" s="28">
        <f t="shared" si="1"/>
        <v>2050</v>
      </c>
      <c r="H70" s="28"/>
      <c r="I70" s="28" t="s">
        <v>17</v>
      </c>
      <c r="J70" s="33">
        <v>11800</v>
      </c>
    </row>
    <row r="71" spans="1:10" x14ac:dyDescent="0.25">
      <c r="A71" s="26" t="s">
        <v>55</v>
      </c>
      <c r="B71" s="26" t="s">
        <v>14</v>
      </c>
      <c r="C71" s="42" t="s">
        <v>54</v>
      </c>
      <c r="D71" s="28">
        <v>1500</v>
      </c>
      <c r="E71" s="28">
        <v>2000</v>
      </c>
      <c r="F71" s="28">
        <f t="shared" si="0"/>
        <v>1600</v>
      </c>
      <c r="G71" s="28">
        <f t="shared" si="1"/>
        <v>2050</v>
      </c>
      <c r="H71" s="28"/>
      <c r="I71" s="28" t="s">
        <v>17</v>
      </c>
      <c r="J71" s="33">
        <v>12900</v>
      </c>
    </row>
    <row r="72" spans="1:10" x14ac:dyDescent="0.25">
      <c r="A72" s="26" t="s">
        <v>53</v>
      </c>
      <c r="B72" s="26" t="s">
        <v>14</v>
      </c>
      <c r="C72" s="42" t="s">
        <v>52</v>
      </c>
      <c r="D72" s="28">
        <v>1600</v>
      </c>
      <c r="E72" s="28">
        <v>2000</v>
      </c>
      <c r="F72" s="28">
        <f t="shared" si="0"/>
        <v>1700</v>
      </c>
      <c r="G72" s="28">
        <f t="shared" si="1"/>
        <v>2050</v>
      </c>
      <c r="H72" s="28"/>
      <c r="I72" s="28" t="s">
        <v>17</v>
      </c>
      <c r="J72" s="33">
        <v>14000</v>
      </c>
    </row>
    <row r="73" spans="1:10" x14ac:dyDescent="0.25">
      <c r="A73" s="26" t="s">
        <v>51</v>
      </c>
      <c r="B73" s="26" t="s">
        <v>14</v>
      </c>
      <c r="C73" s="42" t="s">
        <v>50</v>
      </c>
      <c r="D73" s="28">
        <v>1700</v>
      </c>
      <c r="E73" s="28">
        <v>2000</v>
      </c>
      <c r="F73" s="28">
        <f t="shared" si="0"/>
        <v>1800</v>
      </c>
      <c r="G73" s="28">
        <f t="shared" si="1"/>
        <v>2050</v>
      </c>
      <c r="H73" s="28"/>
      <c r="I73" s="28" t="s">
        <v>17</v>
      </c>
      <c r="J73" s="33">
        <v>15000</v>
      </c>
    </row>
    <row r="74" spans="1:10" x14ac:dyDescent="0.25">
      <c r="A74" s="26" t="s">
        <v>49</v>
      </c>
      <c r="B74" s="26" t="s">
        <v>14</v>
      </c>
      <c r="C74" s="42" t="s">
        <v>48</v>
      </c>
      <c r="D74" s="28">
        <v>1800</v>
      </c>
      <c r="E74" s="28">
        <v>2000</v>
      </c>
      <c r="F74" s="28">
        <f t="shared" si="0"/>
        <v>1900</v>
      </c>
      <c r="G74" s="28">
        <f t="shared" si="1"/>
        <v>2050</v>
      </c>
      <c r="H74" s="28"/>
      <c r="I74" s="28" t="s">
        <v>17</v>
      </c>
      <c r="J74" s="33">
        <v>16200</v>
      </c>
    </row>
    <row r="75" spans="1:10" x14ac:dyDescent="0.25">
      <c r="A75" s="26" t="s">
        <v>47</v>
      </c>
      <c r="B75" s="26" t="s">
        <v>14</v>
      </c>
      <c r="C75" s="42" t="s">
        <v>46</v>
      </c>
      <c r="D75" s="28">
        <v>1900</v>
      </c>
      <c r="E75" s="28">
        <v>2000</v>
      </c>
      <c r="F75" s="28">
        <f t="shared" si="0"/>
        <v>2000</v>
      </c>
      <c r="G75" s="28">
        <f t="shared" si="1"/>
        <v>2050</v>
      </c>
      <c r="H75" s="28"/>
      <c r="I75" s="28" t="s">
        <v>17</v>
      </c>
      <c r="J75" s="33">
        <v>17200</v>
      </c>
    </row>
    <row r="76" spans="1:10" x14ac:dyDescent="0.25">
      <c r="A76" s="26" t="s">
        <v>45</v>
      </c>
      <c r="B76" s="26" t="s">
        <v>14</v>
      </c>
      <c r="C76" s="42" t="s">
        <v>44</v>
      </c>
      <c r="D76" s="28">
        <v>2000</v>
      </c>
      <c r="E76" s="28">
        <v>2000</v>
      </c>
      <c r="F76" s="28">
        <f t="shared" ref="F76:F95" si="2">SUM($D76,100)</f>
        <v>2100</v>
      </c>
      <c r="G76" s="28">
        <f t="shared" ref="G76:G95" si="3">SUM($E76,50)</f>
        <v>2050</v>
      </c>
      <c r="H76" s="28"/>
      <c r="I76" s="28" t="s">
        <v>17</v>
      </c>
      <c r="J76" s="33">
        <v>18300</v>
      </c>
    </row>
    <row r="77" spans="1:10" x14ac:dyDescent="0.25">
      <c r="A77" s="26" t="s">
        <v>246</v>
      </c>
      <c r="B77" s="26" t="s">
        <v>14</v>
      </c>
      <c r="C77" s="42" t="s">
        <v>247</v>
      </c>
      <c r="D77" s="28">
        <v>2100</v>
      </c>
      <c r="E77" s="28">
        <v>2000</v>
      </c>
      <c r="F77" s="28">
        <f t="shared" si="2"/>
        <v>2200</v>
      </c>
      <c r="G77" s="28">
        <f t="shared" si="3"/>
        <v>2050</v>
      </c>
      <c r="H77" s="28"/>
      <c r="I77" s="28" t="s">
        <v>17</v>
      </c>
      <c r="J77" s="33">
        <v>19400</v>
      </c>
    </row>
    <row r="78" spans="1:10" x14ac:dyDescent="0.25">
      <c r="A78" s="26" t="s">
        <v>43</v>
      </c>
      <c r="B78" s="26" t="s">
        <v>14</v>
      </c>
      <c r="C78" s="42" t="s">
        <v>198</v>
      </c>
      <c r="D78" s="28">
        <v>700</v>
      </c>
      <c r="E78" s="28">
        <v>2000</v>
      </c>
      <c r="F78" s="28">
        <f t="shared" si="2"/>
        <v>800</v>
      </c>
      <c r="G78" s="28">
        <f t="shared" si="3"/>
        <v>2050</v>
      </c>
      <c r="H78" s="28" t="s">
        <v>17</v>
      </c>
      <c r="I78" s="28"/>
      <c r="J78" s="33">
        <v>6700</v>
      </c>
    </row>
    <row r="79" spans="1:10" x14ac:dyDescent="0.25">
      <c r="A79" s="26" t="s">
        <v>43</v>
      </c>
      <c r="B79" s="26" t="s">
        <v>14</v>
      </c>
      <c r="C79" s="42" t="s">
        <v>42</v>
      </c>
      <c r="D79" s="28">
        <v>800</v>
      </c>
      <c r="E79" s="28">
        <v>2000</v>
      </c>
      <c r="F79" s="28">
        <f t="shared" si="2"/>
        <v>900</v>
      </c>
      <c r="G79" s="28">
        <f t="shared" si="3"/>
        <v>2050</v>
      </c>
      <c r="H79" s="28" t="s">
        <v>17</v>
      </c>
      <c r="I79" s="28"/>
      <c r="J79" s="33">
        <v>6700</v>
      </c>
    </row>
    <row r="80" spans="1:10" x14ac:dyDescent="0.25">
      <c r="A80" s="26" t="s">
        <v>41</v>
      </c>
      <c r="B80" s="26" t="s">
        <v>14</v>
      </c>
      <c r="C80" s="42" t="s">
        <v>40</v>
      </c>
      <c r="D80" s="28">
        <v>900</v>
      </c>
      <c r="E80" s="28">
        <v>2000</v>
      </c>
      <c r="F80" s="28">
        <f t="shared" si="2"/>
        <v>1000</v>
      </c>
      <c r="G80" s="28">
        <f t="shared" si="3"/>
        <v>2050</v>
      </c>
      <c r="H80" s="28" t="s">
        <v>17</v>
      </c>
      <c r="I80" s="28"/>
      <c r="J80" s="33">
        <v>7400</v>
      </c>
    </row>
    <row r="81" spans="1:10" x14ac:dyDescent="0.25">
      <c r="A81" s="26" t="s">
        <v>39</v>
      </c>
      <c r="B81" s="26" t="s">
        <v>14</v>
      </c>
      <c r="C81" s="42" t="s">
        <v>38</v>
      </c>
      <c r="D81" s="28">
        <v>1000</v>
      </c>
      <c r="E81" s="28">
        <v>2000</v>
      </c>
      <c r="F81" s="28">
        <f t="shared" si="2"/>
        <v>1100</v>
      </c>
      <c r="G81" s="28">
        <f t="shared" si="3"/>
        <v>2050</v>
      </c>
      <c r="H81" s="28" t="s">
        <v>17</v>
      </c>
      <c r="I81" s="28"/>
      <c r="J81" s="33">
        <v>7900</v>
      </c>
    </row>
    <row r="82" spans="1:10" x14ac:dyDescent="0.25">
      <c r="A82" s="26" t="s">
        <v>37</v>
      </c>
      <c r="B82" s="26" t="s">
        <v>14</v>
      </c>
      <c r="C82" s="42" t="s">
        <v>36</v>
      </c>
      <c r="D82" s="28">
        <v>1100</v>
      </c>
      <c r="E82" s="28">
        <v>2000</v>
      </c>
      <c r="F82" s="28">
        <f t="shared" si="2"/>
        <v>1200</v>
      </c>
      <c r="G82" s="28">
        <f t="shared" si="3"/>
        <v>2050</v>
      </c>
      <c r="H82" s="28" t="s">
        <v>17</v>
      </c>
      <c r="I82" s="28"/>
      <c r="J82" s="33">
        <v>8400</v>
      </c>
    </row>
    <row r="83" spans="1:10" x14ac:dyDescent="0.25">
      <c r="A83" s="26" t="s">
        <v>35</v>
      </c>
      <c r="B83" s="26" t="s">
        <v>14</v>
      </c>
      <c r="C83" s="42" t="s">
        <v>34</v>
      </c>
      <c r="D83" s="28">
        <v>1200</v>
      </c>
      <c r="E83" s="28">
        <v>2000</v>
      </c>
      <c r="F83" s="28">
        <f t="shared" si="2"/>
        <v>1300</v>
      </c>
      <c r="G83" s="28">
        <f t="shared" si="3"/>
        <v>2050</v>
      </c>
      <c r="H83" s="28"/>
      <c r="I83" s="28" t="s">
        <v>17</v>
      </c>
      <c r="J83" s="33">
        <v>9100</v>
      </c>
    </row>
    <row r="84" spans="1:10" x14ac:dyDescent="0.25">
      <c r="A84" s="26" t="s">
        <v>33</v>
      </c>
      <c r="B84" s="26" t="s">
        <v>14</v>
      </c>
      <c r="C84" s="42" t="s">
        <v>32</v>
      </c>
      <c r="D84" s="28">
        <v>1300</v>
      </c>
      <c r="E84" s="28">
        <v>2000</v>
      </c>
      <c r="F84" s="28">
        <f t="shared" si="2"/>
        <v>1400</v>
      </c>
      <c r="G84" s="28">
        <f t="shared" si="3"/>
        <v>2050</v>
      </c>
      <c r="H84" s="28"/>
      <c r="I84" s="28" t="s">
        <v>17</v>
      </c>
      <c r="J84" s="33">
        <v>10000</v>
      </c>
    </row>
    <row r="85" spans="1:10" x14ac:dyDescent="0.25">
      <c r="A85" s="26" t="s">
        <v>31</v>
      </c>
      <c r="B85" s="26" t="s">
        <v>14</v>
      </c>
      <c r="C85" s="42" t="s">
        <v>30</v>
      </c>
      <c r="D85" s="28">
        <v>1400</v>
      </c>
      <c r="E85" s="28">
        <v>2000</v>
      </c>
      <c r="F85" s="28">
        <f t="shared" si="2"/>
        <v>1500</v>
      </c>
      <c r="G85" s="28">
        <f t="shared" si="3"/>
        <v>2050</v>
      </c>
      <c r="H85" s="28"/>
      <c r="I85" s="28" t="s">
        <v>17</v>
      </c>
      <c r="J85" s="33">
        <v>11100</v>
      </c>
    </row>
    <row r="86" spans="1:10" x14ac:dyDescent="0.25">
      <c r="A86" s="26" t="s">
        <v>29</v>
      </c>
      <c r="B86" s="26" t="s">
        <v>14</v>
      </c>
      <c r="C86" s="42" t="s">
        <v>28</v>
      </c>
      <c r="D86" s="28">
        <v>1500</v>
      </c>
      <c r="E86" s="28">
        <v>2000</v>
      </c>
      <c r="F86" s="28">
        <f t="shared" si="2"/>
        <v>1600</v>
      </c>
      <c r="G86" s="28">
        <f t="shared" si="3"/>
        <v>2050</v>
      </c>
      <c r="H86" s="28"/>
      <c r="I86" s="28" t="s">
        <v>17</v>
      </c>
      <c r="J86" s="33">
        <v>12200</v>
      </c>
    </row>
    <row r="87" spans="1:10" x14ac:dyDescent="0.25">
      <c r="A87" s="26" t="s">
        <v>27</v>
      </c>
      <c r="B87" s="26" t="s">
        <v>14</v>
      </c>
      <c r="C87" s="42" t="s">
        <v>26</v>
      </c>
      <c r="D87" s="28">
        <v>1600</v>
      </c>
      <c r="E87" s="28">
        <v>2000</v>
      </c>
      <c r="F87" s="28">
        <f t="shared" si="2"/>
        <v>1700</v>
      </c>
      <c r="G87" s="28">
        <f t="shared" si="3"/>
        <v>2050</v>
      </c>
      <c r="H87" s="28"/>
      <c r="I87" s="28" t="s">
        <v>17</v>
      </c>
      <c r="J87" s="33">
        <v>13300</v>
      </c>
    </row>
    <row r="88" spans="1:10" x14ac:dyDescent="0.25">
      <c r="A88" s="26" t="s">
        <v>25</v>
      </c>
      <c r="B88" s="26" t="s">
        <v>14</v>
      </c>
      <c r="C88" s="42" t="s">
        <v>24</v>
      </c>
      <c r="D88" s="28">
        <v>1700</v>
      </c>
      <c r="E88" s="28">
        <v>2000</v>
      </c>
      <c r="F88" s="28">
        <f t="shared" si="2"/>
        <v>1800</v>
      </c>
      <c r="G88" s="28">
        <f t="shared" si="3"/>
        <v>2050</v>
      </c>
      <c r="H88" s="28"/>
      <c r="I88" s="28" t="s">
        <v>17</v>
      </c>
      <c r="J88" s="33">
        <v>14400</v>
      </c>
    </row>
    <row r="89" spans="1:10" x14ac:dyDescent="0.25">
      <c r="A89" s="26" t="s">
        <v>23</v>
      </c>
      <c r="B89" s="26" t="s">
        <v>14</v>
      </c>
      <c r="C89" s="42" t="s">
        <v>22</v>
      </c>
      <c r="D89" s="28">
        <v>1800</v>
      </c>
      <c r="E89" s="28">
        <v>2000</v>
      </c>
      <c r="F89" s="28">
        <f t="shared" si="2"/>
        <v>1900</v>
      </c>
      <c r="G89" s="28">
        <f t="shared" si="3"/>
        <v>2050</v>
      </c>
      <c r="H89" s="28"/>
      <c r="I89" s="28" t="s">
        <v>17</v>
      </c>
      <c r="J89" s="33">
        <v>15400</v>
      </c>
    </row>
    <row r="90" spans="1:10" x14ac:dyDescent="0.25">
      <c r="A90" s="26" t="s">
        <v>21</v>
      </c>
      <c r="B90" s="26" t="s">
        <v>14</v>
      </c>
      <c r="C90" s="42" t="s">
        <v>20</v>
      </c>
      <c r="D90" s="28">
        <v>1900</v>
      </c>
      <c r="E90" s="28">
        <v>2000</v>
      </c>
      <c r="F90" s="28">
        <f t="shared" si="2"/>
        <v>2000</v>
      </c>
      <c r="G90" s="28">
        <f t="shared" si="3"/>
        <v>2050</v>
      </c>
      <c r="H90" s="28"/>
      <c r="I90" s="28" t="s">
        <v>17</v>
      </c>
      <c r="J90" s="33">
        <v>16500</v>
      </c>
    </row>
    <row r="91" spans="1:10" x14ac:dyDescent="0.25">
      <c r="A91" s="26" t="s">
        <v>19</v>
      </c>
      <c r="B91" s="26" t="s">
        <v>14</v>
      </c>
      <c r="C91" s="42" t="s">
        <v>18</v>
      </c>
      <c r="D91" s="28">
        <v>2000</v>
      </c>
      <c r="E91" s="28">
        <v>2000</v>
      </c>
      <c r="F91" s="28">
        <f t="shared" si="2"/>
        <v>2100</v>
      </c>
      <c r="G91" s="28">
        <f t="shared" si="3"/>
        <v>2050</v>
      </c>
      <c r="H91" s="28"/>
      <c r="I91" s="28" t="s">
        <v>17</v>
      </c>
      <c r="J91" s="33">
        <v>17655</v>
      </c>
    </row>
    <row r="92" spans="1:10" x14ac:dyDescent="0.25">
      <c r="A92" s="26" t="s">
        <v>248</v>
      </c>
      <c r="B92" s="26" t="s">
        <v>14</v>
      </c>
      <c r="C92" s="42" t="s">
        <v>249</v>
      </c>
      <c r="D92" s="28">
        <v>2100</v>
      </c>
      <c r="E92" s="28">
        <v>2000</v>
      </c>
      <c r="F92" s="28">
        <f t="shared" si="2"/>
        <v>2200</v>
      </c>
      <c r="G92" s="28">
        <f t="shared" si="3"/>
        <v>2050</v>
      </c>
      <c r="H92" s="28"/>
      <c r="I92" s="28" t="s">
        <v>17</v>
      </c>
      <c r="J92" s="33">
        <v>18800</v>
      </c>
    </row>
    <row r="93" spans="1:10" x14ac:dyDescent="0.25">
      <c r="A93" s="26" t="s">
        <v>250</v>
      </c>
      <c r="B93" s="26" t="s">
        <v>14</v>
      </c>
      <c r="C93" s="42" t="s">
        <v>253</v>
      </c>
      <c r="D93" s="28">
        <v>900</v>
      </c>
      <c r="E93" s="28">
        <v>2000</v>
      </c>
      <c r="F93" s="28">
        <f t="shared" si="2"/>
        <v>1000</v>
      </c>
      <c r="G93" s="28">
        <f t="shared" si="3"/>
        <v>2050</v>
      </c>
      <c r="H93" s="28" t="s">
        <v>17</v>
      </c>
      <c r="I93" s="28"/>
      <c r="J93" s="50">
        <v>0</v>
      </c>
    </row>
    <row r="94" spans="1:10" x14ac:dyDescent="0.25">
      <c r="A94" s="26" t="s">
        <v>251</v>
      </c>
      <c r="B94" s="26" t="s">
        <v>14</v>
      </c>
      <c r="C94" s="42" t="s">
        <v>254</v>
      </c>
      <c r="D94" s="28">
        <v>1400</v>
      </c>
      <c r="E94" s="28">
        <v>2000</v>
      </c>
      <c r="F94" s="28">
        <f t="shared" si="2"/>
        <v>1500</v>
      </c>
      <c r="G94" s="28">
        <f t="shared" si="3"/>
        <v>2050</v>
      </c>
      <c r="H94" s="28"/>
      <c r="I94" s="28" t="s">
        <v>17</v>
      </c>
      <c r="J94" s="50">
        <v>0</v>
      </c>
    </row>
    <row r="95" spans="1:10" x14ac:dyDescent="0.25">
      <c r="A95" s="26" t="s">
        <v>252</v>
      </c>
      <c r="B95" s="26" t="s">
        <v>14</v>
      </c>
      <c r="C95" s="42" t="s">
        <v>255</v>
      </c>
      <c r="D95" s="28">
        <v>1600</v>
      </c>
      <c r="E95" s="28">
        <v>2000</v>
      </c>
      <c r="F95" s="28">
        <f t="shared" si="2"/>
        <v>1700</v>
      </c>
      <c r="G95" s="28">
        <f t="shared" si="3"/>
        <v>2050</v>
      </c>
      <c r="H95" s="28"/>
      <c r="I95" s="28" t="s">
        <v>17</v>
      </c>
      <c r="J95" s="50">
        <v>0</v>
      </c>
    </row>
    <row r="96" spans="1:10" x14ac:dyDescent="0.25">
      <c r="A96" s="117" t="s">
        <v>16</v>
      </c>
      <c r="B96" s="117"/>
      <c r="C96" s="117"/>
      <c r="D96" s="117"/>
      <c r="E96" s="117"/>
      <c r="F96" s="117"/>
      <c r="G96" s="117"/>
      <c r="H96" s="117"/>
      <c r="I96" s="117"/>
      <c r="J96" s="117"/>
    </row>
    <row r="97" spans="1:13" x14ac:dyDescent="0.25">
      <c r="A97" s="26"/>
      <c r="B97" s="26"/>
      <c r="C97" s="43" t="s">
        <v>213</v>
      </c>
      <c r="D97" s="38"/>
      <c r="E97" s="38"/>
      <c r="F97" s="38"/>
      <c r="G97" s="38"/>
      <c r="H97" s="38"/>
      <c r="I97" s="29"/>
      <c r="J97" s="35">
        <v>1710</v>
      </c>
    </row>
    <row r="98" spans="1:13" s="25" customFormat="1" x14ac:dyDescent="0.25">
      <c r="A98" s="30"/>
      <c r="B98" s="30"/>
      <c r="C98" s="44" t="s">
        <v>214</v>
      </c>
      <c r="D98" s="39"/>
      <c r="E98" s="39"/>
      <c r="F98" s="39"/>
      <c r="G98" s="39"/>
      <c r="H98" s="39"/>
      <c r="I98" s="31"/>
      <c r="J98" s="35">
        <v>2655</v>
      </c>
    </row>
    <row r="99" spans="1:13" x14ac:dyDescent="0.25">
      <c r="A99" s="26"/>
      <c r="B99" s="26"/>
      <c r="C99" s="44" t="s">
        <v>263</v>
      </c>
      <c r="D99" s="39"/>
      <c r="E99" s="39"/>
      <c r="F99" s="39"/>
      <c r="G99" s="39"/>
      <c r="H99" s="39"/>
      <c r="I99" s="29"/>
      <c r="J99" s="36">
        <v>3685</v>
      </c>
    </row>
    <row r="100" spans="1:13" x14ac:dyDescent="0.25">
      <c r="A100" s="26"/>
      <c r="B100" s="26"/>
      <c r="C100" s="44" t="s">
        <v>215</v>
      </c>
      <c r="D100" s="39"/>
      <c r="E100" s="39"/>
      <c r="F100" s="39"/>
      <c r="G100" s="39"/>
      <c r="H100" s="39"/>
      <c r="I100" s="29"/>
      <c r="J100" s="37">
        <v>4345</v>
      </c>
    </row>
    <row r="101" spans="1:13" x14ac:dyDescent="0.25">
      <c r="A101" s="26"/>
      <c r="B101" s="26"/>
      <c r="C101" s="44" t="s">
        <v>216</v>
      </c>
      <c r="D101" s="40"/>
      <c r="E101" s="40"/>
      <c r="F101" s="40"/>
      <c r="G101" s="40"/>
      <c r="H101" s="40"/>
      <c r="I101" s="29"/>
      <c r="J101" s="36">
        <v>2600</v>
      </c>
    </row>
    <row r="102" spans="1:13" x14ac:dyDescent="0.25">
      <c r="A102" s="26"/>
      <c r="B102" s="26"/>
      <c r="C102" s="44" t="s">
        <v>217</v>
      </c>
      <c r="D102" s="40"/>
      <c r="E102" s="40"/>
      <c r="F102" s="40"/>
      <c r="G102" s="40"/>
      <c r="H102" s="40"/>
      <c r="I102" s="28"/>
      <c r="J102" s="36">
        <v>3520</v>
      </c>
    </row>
    <row r="103" spans="1:13" x14ac:dyDescent="0.25">
      <c r="A103" s="26"/>
      <c r="B103" s="26"/>
      <c r="C103" s="44" t="s">
        <v>233</v>
      </c>
      <c r="D103" s="40"/>
      <c r="E103" s="40"/>
      <c r="F103" s="40"/>
      <c r="G103" s="40"/>
      <c r="H103" s="40"/>
      <c r="I103" s="28"/>
      <c r="J103" s="36">
        <v>380</v>
      </c>
    </row>
    <row r="104" spans="1:13" x14ac:dyDescent="0.25">
      <c r="A104" s="26"/>
      <c r="B104" s="26"/>
      <c r="C104" s="44" t="s">
        <v>237</v>
      </c>
      <c r="D104" s="40"/>
      <c r="E104" s="40"/>
      <c r="F104" s="40"/>
      <c r="G104" s="40"/>
      <c r="H104" s="40"/>
      <c r="I104" s="28"/>
      <c r="J104" s="48">
        <v>840</v>
      </c>
    </row>
    <row r="105" spans="1:13" x14ac:dyDescent="0.25">
      <c r="A105" s="26"/>
      <c r="B105" s="26"/>
      <c r="C105" s="44" t="s">
        <v>238</v>
      </c>
      <c r="D105" s="40"/>
      <c r="E105" s="40"/>
      <c r="F105" s="40"/>
      <c r="G105" s="40"/>
      <c r="H105" s="40"/>
      <c r="I105" s="28"/>
      <c r="J105" s="49">
        <v>1200</v>
      </c>
    </row>
    <row r="106" spans="1:13" x14ac:dyDescent="0.25">
      <c r="A106" s="26"/>
      <c r="B106" s="26"/>
      <c r="C106" s="44" t="s">
        <v>224</v>
      </c>
      <c r="D106" s="39"/>
      <c r="E106" s="39"/>
      <c r="F106" s="39"/>
      <c r="G106" s="39"/>
      <c r="H106" s="39"/>
      <c r="I106" s="28"/>
      <c r="J106" s="36">
        <v>2125</v>
      </c>
    </row>
    <row r="107" spans="1:13" x14ac:dyDescent="0.25">
      <c r="A107" s="26"/>
      <c r="B107" s="26"/>
      <c r="C107" s="44" t="s">
        <v>223</v>
      </c>
      <c r="D107" s="39"/>
      <c r="E107" s="39"/>
      <c r="F107" s="39"/>
      <c r="G107" s="39"/>
      <c r="H107" s="39"/>
      <c r="I107" s="28"/>
      <c r="J107" s="36">
        <v>615</v>
      </c>
      <c r="M107" s="22"/>
    </row>
    <row r="108" spans="1:13" x14ac:dyDescent="0.25">
      <c r="A108" s="26"/>
      <c r="B108" s="26"/>
      <c r="C108" s="44" t="s">
        <v>225</v>
      </c>
      <c r="D108" s="40"/>
      <c r="E108" s="40"/>
      <c r="F108" s="40"/>
      <c r="G108" s="40"/>
      <c r="H108" s="40"/>
      <c r="I108" s="28"/>
      <c r="J108" s="36">
        <v>3630</v>
      </c>
    </row>
    <row r="109" spans="1:13" x14ac:dyDescent="0.25">
      <c r="A109" s="26"/>
      <c r="B109" s="26"/>
      <c r="C109" s="44" t="s">
        <v>222</v>
      </c>
      <c r="D109" s="40"/>
      <c r="E109" s="40"/>
      <c r="F109" s="40"/>
      <c r="G109" s="40"/>
      <c r="H109" s="40"/>
      <c r="I109" s="28"/>
      <c r="J109" s="36">
        <v>580</v>
      </c>
    </row>
    <row r="110" spans="1:13" x14ac:dyDescent="0.25">
      <c r="A110" s="26"/>
      <c r="B110" s="26"/>
      <c r="C110" s="44" t="s">
        <v>226</v>
      </c>
      <c r="D110" s="40"/>
      <c r="E110" s="40"/>
      <c r="F110" s="40"/>
      <c r="G110" s="40"/>
      <c r="H110" s="40"/>
      <c r="I110" s="28"/>
      <c r="J110" s="36">
        <v>1100</v>
      </c>
    </row>
    <row r="111" spans="1:13" x14ac:dyDescent="0.25">
      <c r="A111" s="26"/>
      <c r="B111" s="26"/>
      <c r="C111" s="44" t="s">
        <v>229</v>
      </c>
      <c r="D111" s="39"/>
      <c r="E111" s="39"/>
      <c r="F111" s="39"/>
      <c r="G111" s="39"/>
      <c r="H111" s="39"/>
      <c r="I111" s="28"/>
      <c r="J111" s="36">
        <v>1060</v>
      </c>
    </row>
    <row r="112" spans="1:13" x14ac:dyDescent="0.25">
      <c r="A112" s="26"/>
      <c r="B112" s="26"/>
      <c r="C112" s="44" t="s">
        <v>228</v>
      </c>
      <c r="D112" s="39"/>
      <c r="E112" s="39"/>
      <c r="F112" s="39"/>
      <c r="G112" s="39"/>
      <c r="H112" s="39"/>
      <c r="I112" s="28"/>
      <c r="J112" s="36">
        <v>580</v>
      </c>
    </row>
    <row r="113" spans="1:10" x14ac:dyDescent="0.25">
      <c r="A113" s="26"/>
      <c r="B113" s="26"/>
      <c r="C113" s="44" t="s">
        <v>219</v>
      </c>
      <c r="D113" s="39"/>
      <c r="E113" s="39"/>
      <c r="F113" s="39"/>
      <c r="G113" s="39"/>
      <c r="H113" s="39"/>
      <c r="I113" s="28"/>
      <c r="J113" s="36">
        <v>530</v>
      </c>
    </row>
    <row r="114" spans="1:10" x14ac:dyDescent="0.25">
      <c r="A114" s="26"/>
      <c r="B114" s="26"/>
      <c r="C114" s="44" t="s">
        <v>221</v>
      </c>
      <c r="D114" s="40"/>
      <c r="E114" s="40"/>
      <c r="F114" s="40"/>
      <c r="G114" s="40"/>
      <c r="H114" s="40"/>
      <c r="I114" s="28"/>
      <c r="J114" s="36">
        <v>600</v>
      </c>
    </row>
    <row r="115" spans="1:10" x14ac:dyDescent="0.25">
      <c r="A115" s="26"/>
      <c r="B115" s="26"/>
      <c r="C115" s="44" t="s">
        <v>188</v>
      </c>
      <c r="D115" s="40"/>
      <c r="E115" s="40"/>
      <c r="F115" s="40"/>
      <c r="G115" s="40"/>
      <c r="H115" s="40"/>
      <c r="I115" s="28"/>
      <c r="J115" s="52">
        <v>360</v>
      </c>
    </row>
    <row r="116" spans="1:10" x14ac:dyDescent="0.25">
      <c r="A116" s="26"/>
      <c r="B116" s="26"/>
      <c r="C116" s="44" t="s">
        <v>227</v>
      </c>
      <c r="D116" s="40"/>
      <c r="E116" s="40"/>
      <c r="F116" s="40"/>
      <c r="G116" s="40"/>
      <c r="H116" s="40"/>
      <c r="I116" s="28"/>
      <c r="J116" s="36">
        <v>340</v>
      </c>
    </row>
    <row r="117" spans="1:10" x14ac:dyDescent="0.25">
      <c r="A117" s="26"/>
      <c r="B117" s="26"/>
      <c r="C117" s="44" t="s">
        <v>218</v>
      </c>
      <c r="D117" s="39"/>
      <c r="E117" s="39"/>
      <c r="F117" s="39"/>
      <c r="G117" s="39"/>
      <c r="H117" s="39"/>
      <c r="I117" s="28"/>
      <c r="J117" s="36">
        <v>1260</v>
      </c>
    </row>
    <row r="118" spans="1:10" x14ac:dyDescent="0.25">
      <c r="A118" s="26"/>
      <c r="B118" s="26"/>
      <c r="C118" s="44" t="s">
        <v>220</v>
      </c>
      <c r="D118" s="40"/>
      <c r="E118" s="40"/>
      <c r="F118" s="40"/>
      <c r="G118" s="40"/>
      <c r="H118" s="40"/>
      <c r="I118" s="28"/>
      <c r="J118" s="36">
        <v>360</v>
      </c>
    </row>
    <row r="119" spans="1:10" x14ac:dyDescent="0.25">
      <c r="A119" s="26"/>
      <c r="B119" s="26"/>
      <c r="C119" s="44" t="s">
        <v>265</v>
      </c>
      <c r="D119" s="40"/>
      <c r="E119" s="40"/>
      <c r="F119" s="40"/>
      <c r="G119" s="40"/>
      <c r="H119" s="40"/>
      <c r="I119" s="28"/>
      <c r="J119" s="36">
        <v>1660</v>
      </c>
    </row>
    <row r="120" spans="1:10" x14ac:dyDescent="0.25">
      <c r="A120" s="26"/>
      <c r="B120" s="26"/>
      <c r="C120" s="44" t="s">
        <v>230</v>
      </c>
      <c r="D120" s="40"/>
      <c r="E120" s="40"/>
      <c r="F120" s="40"/>
      <c r="G120" s="40"/>
      <c r="H120" s="40"/>
      <c r="I120" s="28"/>
      <c r="J120" s="36">
        <v>1735</v>
      </c>
    </row>
    <row r="121" spans="1:10" x14ac:dyDescent="0.25">
      <c r="A121" s="26"/>
      <c r="B121" s="26"/>
      <c r="C121" s="44" t="s">
        <v>231</v>
      </c>
      <c r="D121" s="40"/>
      <c r="E121" s="40"/>
      <c r="F121" s="40"/>
      <c r="G121" s="40"/>
      <c r="H121" s="40"/>
      <c r="I121" s="28"/>
      <c r="J121" s="36">
        <v>11390</v>
      </c>
    </row>
    <row r="122" spans="1:10" x14ac:dyDescent="0.25">
      <c r="A122" s="26"/>
      <c r="B122" s="26"/>
      <c r="C122" s="44" t="s">
        <v>232</v>
      </c>
      <c r="D122" s="40"/>
      <c r="E122" s="40"/>
      <c r="F122" s="40"/>
      <c r="G122" s="40"/>
      <c r="H122" s="40"/>
      <c r="I122" s="28"/>
      <c r="J122" s="36">
        <v>11390</v>
      </c>
    </row>
    <row r="123" spans="1:10" x14ac:dyDescent="0.25">
      <c r="A123" s="26"/>
      <c r="B123" s="26"/>
      <c r="C123" s="45" t="s">
        <v>234</v>
      </c>
      <c r="D123" s="31"/>
      <c r="E123" s="31"/>
      <c r="F123" s="31"/>
      <c r="G123" s="31"/>
      <c r="H123" s="31"/>
      <c r="I123" s="28"/>
      <c r="J123" s="32">
        <v>870</v>
      </c>
    </row>
    <row r="124" spans="1:10" x14ac:dyDescent="0.25">
      <c r="A124" s="26"/>
      <c r="B124" s="26"/>
      <c r="C124" s="45" t="s">
        <v>256</v>
      </c>
      <c r="D124" s="31"/>
      <c r="E124" s="31"/>
      <c r="F124" s="31"/>
      <c r="G124" s="31"/>
      <c r="H124" s="31"/>
      <c r="I124" s="28"/>
      <c r="J124" s="32">
        <v>970</v>
      </c>
    </row>
    <row r="125" spans="1:10" x14ac:dyDescent="0.25">
      <c r="A125" s="26"/>
      <c r="B125" s="26"/>
      <c r="C125" s="45" t="s">
        <v>235</v>
      </c>
      <c r="D125" s="31"/>
      <c r="E125" s="31"/>
      <c r="F125" s="31"/>
      <c r="G125" s="31"/>
      <c r="H125" s="31"/>
      <c r="I125" s="28"/>
      <c r="J125" s="32">
        <v>1045</v>
      </c>
    </row>
    <row r="126" spans="1:10" x14ac:dyDescent="0.25">
      <c r="A126" s="26"/>
      <c r="B126" s="26"/>
      <c r="C126" s="45" t="s">
        <v>236</v>
      </c>
      <c r="D126" s="31"/>
      <c r="E126" s="31"/>
      <c r="F126" s="31"/>
      <c r="G126" s="31"/>
      <c r="H126" s="31"/>
      <c r="I126" s="28"/>
      <c r="J126" s="36">
        <v>1210</v>
      </c>
    </row>
    <row r="127" spans="1:10" x14ac:dyDescent="0.25">
      <c r="A127" s="26"/>
      <c r="B127" s="26"/>
      <c r="C127" s="46" t="s">
        <v>257</v>
      </c>
      <c r="D127" s="28"/>
      <c r="E127" s="28"/>
      <c r="F127" s="28"/>
      <c r="G127" s="28"/>
      <c r="H127" s="28"/>
      <c r="I127" s="28"/>
      <c r="J127" s="32">
        <v>550</v>
      </c>
    </row>
    <row r="128" spans="1:10" x14ac:dyDescent="0.25">
      <c r="A128" s="26"/>
      <c r="B128" s="26"/>
      <c r="C128" s="46" t="s">
        <v>258</v>
      </c>
      <c r="D128" s="28"/>
      <c r="E128" s="28"/>
      <c r="F128" s="28"/>
      <c r="G128" s="28"/>
      <c r="H128" s="28"/>
      <c r="I128" s="28"/>
      <c r="J128" s="32">
        <v>860</v>
      </c>
    </row>
    <row r="129" spans="1:10" x14ac:dyDescent="0.25">
      <c r="A129" s="26"/>
      <c r="B129" s="26"/>
      <c r="C129" s="46" t="s">
        <v>259</v>
      </c>
      <c r="D129" s="28"/>
      <c r="E129" s="28"/>
      <c r="F129" s="28"/>
      <c r="G129" s="28"/>
      <c r="H129" s="28"/>
      <c r="I129" s="28"/>
      <c r="J129" s="32">
        <v>1155</v>
      </c>
    </row>
    <row r="130" spans="1:10" x14ac:dyDescent="0.25">
      <c r="A130" s="26"/>
      <c r="B130" s="26"/>
      <c r="C130" s="46" t="s">
        <v>260</v>
      </c>
      <c r="D130" s="28"/>
      <c r="E130" s="28"/>
      <c r="F130" s="28"/>
      <c r="G130" s="28"/>
      <c r="H130" s="28"/>
      <c r="I130" s="28"/>
      <c r="J130" s="32">
        <v>935</v>
      </c>
    </row>
    <row r="131" spans="1:10" x14ac:dyDescent="0.25">
      <c r="A131" s="26"/>
      <c r="B131" s="26"/>
      <c r="C131" s="46" t="s">
        <v>261</v>
      </c>
      <c r="D131" s="28"/>
      <c r="E131" s="28"/>
      <c r="F131" s="28"/>
      <c r="G131" s="28"/>
      <c r="H131" s="28"/>
      <c r="I131" s="28"/>
      <c r="J131" s="32">
        <v>1540</v>
      </c>
    </row>
    <row r="132" spans="1:10" x14ac:dyDescent="0.25">
      <c r="A132" s="26"/>
      <c r="B132" s="26"/>
      <c r="C132" s="46" t="s">
        <v>264</v>
      </c>
      <c r="D132" s="28"/>
      <c r="E132" s="28"/>
      <c r="F132" s="28"/>
      <c r="G132" s="28"/>
      <c r="H132" s="28"/>
      <c r="I132" s="28"/>
      <c r="J132" s="32">
        <v>800</v>
      </c>
    </row>
    <row r="133" spans="1:10" x14ac:dyDescent="0.25">
      <c r="A133" s="26"/>
      <c r="B133" s="26"/>
      <c r="C133" s="46" t="s">
        <v>262</v>
      </c>
      <c r="D133" s="28"/>
      <c r="E133" s="28"/>
      <c r="F133" s="28"/>
      <c r="G133" s="28"/>
      <c r="H133" s="28"/>
      <c r="I133" s="28"/>
      <c r="J133" s="32">
        <v>2090</v>
      </c>
    </row>
    <row r="134" spans="1:10" x14ac:dyDescent="0.25">
      <c r="C134" s="47" t="s">
        <v>266</v>
      </c>
      <c r="J134" s="51">
        <v>900</v>
      </c>
    </row>
  </sheetData>
  <sortState ref="C88:J116">
    <sortCondition ref="C88"/>
  </sortState>
  <mergeCells count="2">
    <mergeCell ref="A1:J1"/>
    <mergeCell ref="A96:J9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Cotizador</vt:lpstr>
      <vt:lpstr>Precios</vt:lpstr>
      <vt:lpstr>descuentoTotalName</vt:lpstr>
      <vt:lpstr>I.V.A</vt:lpstr>
      <vt:lpstr>porcentajeDescuentoName</vt:lpstr>
      <vt:lpstr>PUERTAS</vt:lpstr>
      <vt:lpstr>puertasItemsName</vt:lpstr>
      <vt:lpstr>subtotalConDescuentoName</vt:lpstr>
      <vt:lpstr>subtotalParcialName</vt:lpstr>
      <vt:lpstr>subtotalRangeName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2018-06-05T22:03:35Z</dcterms:modified>
</cp:coreProperties>
</file>