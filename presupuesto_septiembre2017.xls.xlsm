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/>
  <bookViews>
    <workbookView xWindow="240" yWindow="108" windowWidth="14808" windowHeight="8016" activeTab="1"/>
  </bookViews>
  <sheets>
    <sheet name="Cotizador" sheetId="1" r:id="rId1"/>
    <sheet name="Precios" sheetId="4" r:id="rId2"/>
  </sheets>
  <definedNames>
    <definedName name="PUERTAS">Precios!$C$3:$C$86</definedName>
  </definedNames>
  <calcPr calcId="144525"/>
</workbook>
</file>

<file path=xl/calcChain.xml><?xml version="1.0" encoding="utf-8"?>
<calcChain xmlns="http://schemas.openxmlformats.org/spreadsheetml/2006/main">
  <c r="N13" i="1" l="1"/>
  <c r="L13" i="1"/>
  <c r="J13" i="1" l="1"/>
  <c r="I13" i="1"/>
  <c r="H13" i="1"/>
  <c r="G13" i="1"/>
  <c r="F13" i="1"/>
  <c r="P13" i="1" l="1"/>
  <c r="Q13" i="1" s="1"/>
  <c r="Q14" i="1" s="1"/>
  <c r="G59" i="4"/>
  <c r="F59" i="4"/>
  <c r="G45" i="4"/>
  <c r="F45" i="4"/>
  <c r="G31" i="4"/>
  <c r="F31" i="4"/>
  <c r="G17" i="4"/>
  <c r="F17" i="4"/>
  <c r="G3" i="4"/>
  <c r="F3" i="4"/>
  <c r="G73" i="4"/>
  <c r="F73" i="4"/>
  <c r="G86" i="4" l="1"/>
  <c r="F86" i="4"/>
  <c r="G85" i="4"/>
  <c r="F85" i="4"/>
  <c r="G84" i="4"/>
  <c r="F84" i="4"/>
  <c r="G83" i="4"/>
  <c r="F83" i="4"/>
  <c r="G82" i="4"/>
  <c r="F82" i="4"/>
  <c r="G81" i="4"/>
  <c r="F81" i="4"/>
  <c r="G80" i="4"/>
  <c r="F80" i="4"/>
  <c r="G79" i="4"/>
  <c r="F79" i="4"/>
  <c r="G78" i="4"/>
  <c r="F78" i="4"/>
  <c r="G77" i="4"/>
  <c r="F77" i="4"/>
  <c r="G76" i="4"/>
  <c r="F76" i="4"/>
  <c r="G75" i="4"/>
  <c r="F75" i="4"/>
  <c r="G74" i="4"/>
  <c r="F74" i="4"/>
  <c r="G72" i="4"/>
  <c r="F72" i="4"/>
  <c r="G71" i="4"/>
  <c r="F71" i="4"/>
  <c r="G70" i="4"/>
  <c r="F70" i="4"/>
  <c r="G69" i="4"/>
  <c r="F69" i="4"/>
  <c r="G68" i="4"/>
  <c r="F68" i="4"/>
  <c r="G67" i="4"/>
  <c r="F67" i="4"/>
  <c r="G66" i="4"/>
  <c r="F66" i="4"/>
  <c r="G65" i="4"/>
  <c r="F65" i="4"/>
  <c r="G64" i="4"/>
  <c r="F64" i="4"/>
  <c r="G63" i="4"/>
  <c r="F63" i="4"/>
  <c r="G62" i="4"/>
  <c r="F62" i="4"/>
  <c r="G61" i="4"/>
  <c r="F61" i="4"/>
  <c r="G60" i="4"/>
  <c r="F60" i="4"/>
  <c r="G58" i="4"/>
  <c r="F58" i="4"/>
  <c r="G57" i="4"/>
  <c r="F57" i="4"/>
  <c r="G56" i="4"/>
  <c r="F56" i="4"/>
  <c r="G55" i="4"/>
  <c r="F55" i="4"/>
  <c r="G54" i="4"/>
  <c r="F54" i="4"/>
  <c r="G53" i="4"/>
  <c r="F53" i="4"/>
  <c r="G52" i="4"/>
  <c r="F52" i="4"/>
  <c r="G51" i="4"/>
  <c r="F51" i="4"/>
  <c r="G50" i="4"/>
  <c r="F50" i="4"/>
  <c r="G49" i="4"/>
  <c r="F49" i="4"/>
  <c r="G48" i="4"/>
  <c r="F48" i="4"/>
  <c r="G47" i="4"/>
  <c r="F47" i="4"/>
  <c r="G46" i="4"/>
  <c r="F46" i="4"/>
  <c r="G44" i="4"/>
  <c r="F44" i="4"/>
  <c r="G43" i="4"/>
  <c r="F43" i="4"/>
  <c r="G42" i="4"/>
  <c r="F42" i="4"/>
  <c r="G41" i="4"/>
  <c r="F41" i="4"/>
  <c r="G40" i="4"/>
  <c r="F40" i="4"/>
  <c r="G39" i="4"/>
  <c r="F39" i="4"/>
  <c r="G38" i="4"/>
  <c r="F38" i="4"/>
  <c r="G37" i="4"/>
  <c r="F37" i="4"/>
  <c r="G36" i="4"/>
  <c r="F36" i="4"/>
  <c r="G35" i="4"/>
  <c r="F35" i="4"/>
  <c r="G34" i="4"/>
  <c r="F34" i="4"/>
  <c r="G33" i="4"/>
  <c r="F33" i="4"/>
  <c r="G32" i="4"/>
  <c r="F32" i="4"/>
  <c r="G30" i="4"/>
  <c r="F30" i="4"/>
  <c r="G29" i="4"/>
  <c r="F29" i="4"/>
  <c r="G28" i="4"/>
  <c r="F28" i="4"/>
  <c r="G27" i="4"/>
  <c r="F27" i="4"/>
  <c r="G26" i="4"/>
  <c r="F26" i="4"/>
  <c r="G25" i="4"/>
  <c r="F25" i="4"/>
  <c r="G24" i="4"/>
  <c r="F24" i="4"/>
  <c r="G23" i="4"/>
  <c r="F23" i="4"/>
  <c r="G22" i="4"/>
  <c r="F22" i="4"/>
  <c r="G21" i="4"/>
  <c r="F21" i="4"/>
  <c r="G20" i="4"/>
  <c r="F20" i="4"/>
  <c r="G19" i="4"/>
  <c r="F19" i="4"/>
  <c r="G18" i="4"/>
  <c r="F18" i="4"/>
  <c r="G16" i="4"/>
  <c r="F16" i="4"/>
  <c r="G15" i="4"/>
  <c r="F15" i="4"/>
  <c r="G14" i="4"/>
  <c r="F14" i="4"/>
  <c r="G13" i="4"/>
  <c r="F13" i="4"/>
  <c r="G12" i="4"/>
  <c r="F12" i="4"/>
  <c r="G11" i="4"/>
  <c r="F11" i="4"/>
  <c r="G10" i="4"/>
  <c r="F10" i="4"/>
  <c r="G9" i="4"/>
  <c r="F9" i="4"/>
  <c r="G8" i="4"/>
  <c r="F8" i="4"/>
  <c r="G7" i="4"/>
  <c r="F7" i="4"/>
  <c r="G6" i="4"/>
  <c r="F6" i="4"/>
  <c r="G5" i="4"/>
  <c r="F5" i="4"/>
  <c r="G4" i="4"/>
  <c r="F4" i="4"/>
  <c r="Q15" i="1" l="1"/>
  <c r="Q16" i="1" s="1"/>
</calcChain>
</file>

<file path=xl/sharedStrings.xml><?xml version="1.0" encoding="utf-8"?>
<sst xmlns="http://schemas.openxmlformats.org/spreadsheetml/2006/main" count="417" uniqueCount="242">
  <si>
    <t>ITEM</t>
  </si>
  <si>
    <t>DESCRIPCIÓN</t>
  </si>
  <si>
    <t>CANT. IZQ</t>
  </si>
  <si>
    <t>CANT. DER</t>
  </si>
  <si>
    <t>ANCHO</t>
  </si>
  <si>
    <t>ALTO</t>
  </si>
  <si>
    <t>PASO LIBRE</t>
  </si>
  <si>
    <t>MARCO TERMINADO</t>
  </si>
  <si>
    <t>DIMENSIONES</t>
  </si>
  <si>
    <t>PRESUPUESTO Nº</t>
  </si>
  <si>
    <t>FECHA</t>
  </si>
  <si>
    <t>CONTACTO</t>
  </si>
  <si>
    <t>OBRA</t>
  </si>
  <si>
    <t>TELEFONO</t>
  </si>
  <si>
    <t>-</t>
  </si>
  <si>
    <t>SIMPLE / DOBLE</t>
  </si>
  <si>
    <t>HERRAJES Y CERRADURAS</t>
  </si>
  <si>
    <t>X</t>
  </si>
  <si>
    <t>PUERTA SEGURIDAD MET CH18 2000 X 2000</t>
  </si>
  <si>
    <t>PC18D09</t>
  </si>
  <si>
    <t>PUERTA SEGURIDAD MET CH18 1900 X 2000</t>
  </si>
  <si>
    <t>PC18D08</t>
  </si>
  <si>
    <t>PUERTA SEGURIDAD MET CH18 1800 X 2000</t>
  </si>
  <si>
    <t>PC18D07</t>
  </si>
  <si>
    <t>PUERTA SEGURIDAD MET CH18 1700 X 2000</t>
  </si>
  <si>
    <t>PC18D06</t>
  </si>
  <si>
    <t>PUERTA SEGURIDAD MET CH18 1600 X 2000</t>
  </si>
  <si>
    <t>PC18D05</t>
  </si>
  <si>
    <t>PUERTA SEGURIDAD MET CH18 1500 X 2000</t>
  </si>
  <si>
    <t>PC18D04</t>
  </si>
  <si>
    <t>PUERTA SEGURIDAD MET CH18 1400 X 2000</t>
  </si>
  <si>
    <t>PC18D03</t>
  </si>
  <si>
    <t>PUERTA SEGURIDAD MET CH18 1300 X 2000</t>
  </si>
  <si>
    <t>PC18D02</t>
  </si>
  <si>
    <t>PUERTA SEGURIDAD MET CH18 1200 X 2000</t>
  </si>
  <si>
    <t>PC18D01</t>
  </si>
  <si>
    <t>PUERTA SEGURIDAD MET CH18 1100 X 2000</t>
  </si>
  <si>
    <t>PC18S04</t>
  </si>
  <si>
    <t>PUERTA SEGURIDAD MET CH18 1000 X 2000</t>
  </si>
  <si>
    <t>PC18S03</t>
  </si>
  <si>
    <t>PUERTA SEGURIDAD MET CH18 900 X 2000</t>
  </si>
  <si>
    <t>PC18S02</t>
  </si>
  <si>
    <t>PUERTA SEGURIDAD MET CH18 800 X 2000</t>
  </si>
  <si>
    <t>PC18S01</t>
  </si>
  <si>
    <t>PUERTA SEGURIDAD CH16 2000 X 2000</t>
  </si>
  <si>
    <t>PCD09</t>
  </si>
  <si>
    <t>PUERTA SEGURIDAD CH16 1900 X 2000</t>
  </si>
  <si>
    <t>PCD08</t>
  </si>
  <si>
    <t>PUERTA SEGURIDAD CH16 1800 X 2000</t>
  </si>
  <si>
    <t>PCD07</t>
  </si>
  <si>
    <t>PUERTA SEGURIDAD CH16 1700 X 2000</t>
  </si>
  <si>
    <t>PCD06</t>
  </si>
  <si>
    <t>PUERTA SEGURIDAD CH16 1600 X 2000</t>
  </si>
  <si>
    <t>PCD05</t>
  </si>
  <si>
    <t>PUERTA SEGURIDAD CH16 1500 X 2000</t>
  </si>
  <si>
    <t>PCD04</t>
  </si>
  <si>
    <t>PUERTA SEGURIDAD CH16 1400 X 2000</t>
  </si>
  <si>
    <t>PCD03</t>
  </si>
  <si>
    <t>PUERTA SEGURIDAD CH16 1300 X 2000</t>
  </si>
  <si>
    <t>PCD02</t>
  </si>
  <si>
    <t>PUERTA SEGURIDAD CH16 1200 X 2000</t>
  </si>
  <si>
    <t>PCD01</t>
  </si>
  <si>
    <t>PUERTA SEGURIDAD CH16 1100 X 2000</t>
  </si>
  <si>
    <t>PCS04</t>
  </si>
  <si>
    <t>PUERTA SEGURIDAD CH161000 X 2000</t>
  </si>
  <si>
    <t>PCS03</t>
  </si>
  <si>
    <t>PUERTA SEGURIDAD CH16 900 X 2000</t>
  </si>
  <si>
    <t>PCS02</t>
  </si>
  <si>
    <t>PUERTA SEGURIDAD CH16 800 X 2000</t>
  </si>
  <si>
    <t>PCS01</t>
  </si>
  <si>
    <t>PUERTA RF120 2000 X 2000</t>
  </si>
  <si>
    <t>RF1213</t>
  </si>
  <si>
    <t>PUERTA RF120 1900 X 2000</t>
  </si>
  <si>
    <t>RF1212</t>
  </si>
  <si>
    <t>PUERTA RF120 1800 X 2000</t>
  </si>
  <si>
    <t>RF1211</t>
  </si>
  <si>
    <t>PUERTA RF120 1700 X 2000</t>
  </si>
  <si>
    <t>RF1210</t>
  </si>
  <si>
    <t>PUERTA RF120 1600 X 2000</t>
  </si>
  <si>
    <t>RF1209</t>
  </si>
  <si>
    <t>PUERTA RF120 1500 X 2000</t>
  </si>
  <si>
    <t>RF1208</t>
  </si>
  <si>
    <t>PUERTA RF120 1400 X 2000</t>
  </si>
  <si>
    <t>RF1207</t>
  </si>
  <si>
    <t>PUERTA RF120 1300 X 2000</t>
  </si>
  <si>
    <t>RF1206</t>
  </si>
  <si>
    <t>PUERTA RF120 1200 X 2000</t>
  </si>
  <si>
    <t>RF1205</t>
  </si>
  <si>
    <t>PUERTA RF120 1100 X 2000</t>
  </si>
  <si>
    <t>RF1204</t>
  </si>
  <si>
    <t>PUERTA RF120 1000 X 2000</t>
  </si>
  <si>
    <t>RF1203</t>
  </si>
  <si>
    <t>PUERTA RF120 900 X 2000</t>
  </si>
  <si>
    <t>RF1202</t>
  </si>
  <si>
    <t>PUERTA RF120 800 X 2000</t>
  </si>
  <si>
    <t>RF1201</t>
  </si>
  <si>
    <t>PUERTA RF90 2000 X 2000</t>
  </si>
  <si>
    <t>RF912</t>
  </si>
  <si>
    <t>PUERTA RF90 1900 X 2000</t>
  </si>
  <si>
    <t>RF911</t>
  </si>
  <si>
    <t>PUERTA RF90 1800 X 2000</t>
  </si>
  <si>
    <t>RF910</t>
  </si>
  <si>
    <t>PUERTA RF90 1700 X 2000</t>
  </si>
  <si>
    <t>RF909</t>
  </si>
  <si>
    <t>PUERTA RF90 1600 X 2000</t>
  </si>
  <si>
    <t>RF908</t>
  </si>
  <si>
    <t>PUERTA RF90 1500 X 2000</t>
  </si>
  <si>
    <t>RF907</t>
  </si>
  <si>
    <t>PUERTA RF90 1400 X 2000</t>
  </si>
  <si>
    <t>RF906</t>
  </si>
  <si>
    <t>PUERTA RF90 1300 X 2000</t>
  </si>
  <si>
    <t>RF905</t>
  </si>
  <si>
    <t>PUERTA RF90 1200 X 2000</t>
  </si>
  <si>
    <t>RF904</t>
  </si>
  <si>
    <t>PUERTA RF90 1100 X 2000</t>
  </si>
  <si>
    <t>RF913</t>
  </si>
  <si>
    <t>PUERTA RF90 1000 X 2000</t>
  </si>
  <si>
    <t>RF903</t>
  </si>
  <si>
    <t>PUERTA RF90 900 X 2000</t>
  </si>
  <si>
    <t>RF902</t>
  </si>
  <si>
    <t>PUERTA RF90 800 X 2000</t>
  </si>
  <si>
    <t>RF901</t>
  </si>
  <si>
    <t>PUERTA RF60 2000 X 2000</t>
  </si>
  <si>
    <t>RF613</t>
  </si>
  <si>
    <t>PUERTA RF60 1900 X 2000</t>
  </si>
  <si>
    <t>RF612</t>
  </si>
  <si>
    <t>PUERTA RF60 1800 X 2000</t>
  </si>
  <si>
    <t>RF611</t>
  </si>
  <si>
    <t>PUERTA RF60 1700 X 2000</t>
  </si>
  <si>
    <t>RF610</t>
  </si>
  <si>
    <t>PUERTA RF60 1600 X 2000</t>
  </si>
  <si>
    <t>RF609</t>
  </si>
  <si>
    <t>PUERTA RF60 1500 X 2000</t>
  </si>
  <si>
    <t>RF608</t>
  </si>
  <si>
    <t>PUERTA RF60 1400 X 2000</t>
  </si>
  <si>
    <t>RF607</t>
  </si>
  <si>
    <t>PUERTA RF60 1300 X 2000</t>
  </si>
  <si>
    <t>RF606</t>
  </si>
  <si>
    <t>PUERTA RF60 1200 X 2000</t>
  </si>
  <si>
    <t>RF605</t>
  </si>
  <si>
    <t>PUERTA RF60 1100 X 2000</t>
  </si>
  <si>
    <t>RF604</t>
  </si>
  <si>
    <t>PUERTA RF60 1000 X 2000</t>
  </si>
  <si>
    <t>RF603</t>
  </si>
  <si>
    <t>PUERTA RF60 900 X 2000</t>
  </si>
  <si>
    <t>RF602</t>
  </si>
  <si>
    <t>PUERTA RF60 800 X 2000</t>
  </si>
  <si>
    <t>RF601</t>
  </si>
  <si>
    <t>PUERTA RF30 2000 X 2000</t>
  </si>
  <si>
    <t>RF313</t>
  </si>
  <si>
    <t>PUERTA RF30 1900 X 2000</t>
  </si>
  <si>
    <t>RF312</t>
  </si>
  <si>
    <t>PUERTA RF30 1800 X 2000</t>
  </si>
  <si>
    <t>RF311</t>
  </si>
  <si>
    <t>PUERTA RF30 1700 X 2000</t>
  </si>
  <si>
    <t>RF310</t>
  </si>
  <si>
    <t>PUERTA RF30 1600 X 2000</t>
  </si>
  <si>
    <t>RF309</t>
  </si>
  <si>
    <t>PUERTA RF30 1500 X 2000</t>
  </si>
  <si>
    <t>RF308</t>
  </si>
  <si>
    <t>PUERTA RF30 1400 X 2000</t>
  </si>
  <si>
    <t>RF307</t>
  </si>
  <si>
    <t>PUERTA RF30 1300 X 2000</t>
  </si>
  <si>
    <t>RF306</t>
  </si>
  <si>
    <t>PUERTA RF30 1200 X 2000</t>
  </si>
  <si>
    <t>RF305</t>
  </si>
  <si>
    <t>PUERTA RF30 1100 X 2000</t>
  </si>
  <si>
    <t>RF304</t>
  </si>
  <si>
    <t>PUERTA RF30 1000 X 2000</t>
  </si>
  <si>
    <t>RF303</t>
  </si>
  <si>
    <t>RF302</t>
  </si>
  <si>
    <t>RF301</t>
  </si>
  <si>
    <t>PRECIO</t>
  </si>
  <si>
    <t>D</t>
  </si>
  <si>
    <t>S</t>
  </si>
  <si>
    <t>ALTO MT</t>
  </si>
  <si>
    <t>ANCHO MT</t>
  </si>
  <si>
    <t>ALTO PL</t>
  </si>
  <si>
    <t>ANCHO PL</t>
  </si>
  <si>
    <t>DESCRIPCION</t>
  </si>
  <si>
    <t>CODIGO EXT</t>
  </si>
  <si>
    <t>CODIGO INT</t>
  </si>
  <si>
    <t>PUERTAS</t>
  </si>
  <si>
    <t>Precio Unitario</t>
  </si>
  <si>
    <t>Precio Total</t>
  </si>
  <si>
    <t>4954-2224</t>
  </si>
  <si>
    <t>Subtotal</t>
  </si>
  <si>
    <t>I.V.A</t>
  </si>
  <si>
    <t>Total</t>
  </si>
  <si>
    <t>MEDIA MANIJA SANATORIO PLATIL</t>
  </si>
  <si>
    <t>ventas@mesquita.com.ar</t>
  </si>
  <si>
    <t>4115-0800</t>
  </si>
  <si>
    <t>REJILLA DE VENTILACION 400X300</t>
  </si>
  <si>
    <t>E-mail</t>
  </si>
  <si>
    <t>IMPRESIÓN GRIS</t>
  </si>
  <si>
    <t>TERMINACION UNICA</t>
  </si>
  <si>
    <t>SBAICSE S.A.</t>
  </si>
  <si>
    <t>Compras</t>
  </si>
  <si>
    <t>comprasbaicse@gmail.com</t>
  </si>
  <si>
    <t>1</t>
  </si>
  <si>
    <t>PUERTA SEGURIDAD MET CH18 700 X 2000</t>
  </si>
  <si>
    <t>RF300</t>
  </si>
  <si>
    <t>RF600</t>
  </si>
  <si>
    <t>PUERTA RF60 700 X 2000</t>
  </si>
  <si>
    <t>PUERTA RF30 700 X 2000</t>
  </si>
  <si>
    <t>PUERTA RF30 800 X 2000</t>
  </si>
  <si>
    <t>PUERTA RF30 900 X 2000</t>
  </si>
  <si>
    <t>RF900</t>
  </si>
  <si>
    <t>PUERTA RF90 700 X 2000</t>
  </si>
  <si>
    <t>PUERTA RF120 700 X 2000</t>
  </si>
  <si>
    <t>PUERTA SEGURIDAD CH16 700 X 2000</t>
  </si>
  <si>
    <t>PCS00</t>
  </si>
  <si>
    <t>(900+300)</t>
  </si>
  <si>
    <t>Mtso Flores</t>
  </si>
  <si>
    <t>PRE 14422</t>
  </si>
  <si>
    <t>BARRAL ANTIP SIMPLE PUSH</t>
  </si>
  <si>
    <t xml:space="preserve">BARRAL CON FALLEBA </t>
  </si>
  <si>
    <t>BARRAL ANTIP SIMPLE PUSH C/MICRO</t>
  </si>
  <si>
    <t>BARRAL ANT CON FALLEBA PUSH C/MICRO</t>
  </si>
  <si>
    <t>BARRAL ANTIPÁNICO TOUCH (TECLA)</t>
  </si>
  <si>
    <t>BARRAL ANTIP TOUCH (TECLA) C/FALLEBA</t>
  </si>
  <si>
    <t>POMO EXTERIOR P/ANTIP CON LLAVE NEGRO</t>
  </si>
  <si>
    <t xml:space="preserve">MANIJA/POMO DOBLE BALANCIN </t>
  </si>
  <si>
    <t>POMO FIJO REDONDO SANAT. PLATIL</t>
  </si>
  <si>
    <t>MANIJON EXT TIRADOR SANAT. PLATIL</t>
  </si>
  <si>
    <t>CERRADURA RODILLO VAIVEN</t>
  </si>
  <si>
    <t xml:space="preserve">CERRADURA DOBLE PALETA </t>
  </si>
  <si>
    <t>CERRADURA CENTRAL COMPUTADA</t>
  </si>
  <si>
    <t>CERRADURA MULTIANCLAJE COMPUTADA EUROP</t>
  </si>
  <si>
    <t>CERROJO DOBLE PALETA</t>
  </si>
  <si>
    <t>MIRILLA GRAN ANGULAR 360º</t>
  </si>
  <si>
    <t>DOBLE PASADOR DE EMBUTIR</t>
  </si>
  <si>
    <t xml:space="preserve">CIERRAPUERTA HIDRAULICO </t>
  </si>
  <si>
    <t>VENT CRISTAL CORTAFUEGO PYROSHIELD 400X300</t>
  </si>
  <si>
    <t>VENT CRISTAL CORTAFUEGO PYROSTOP 30CM DIAM</t>
  </si>
  <si>
    <t>VENT CRISTAL CORTAFUEGO PYROSTOP 400X300 DIAM</t>
  </si>
  <si>
    <t>BURLETE INTUMESCENTE X M LINEAL</t>
  </si>
  <si>
    <t>ZOCALO ACERO INOX H:10CM (X CARA)</t>
  </si>
  <si>
    <t>ZOCALO ACERO INOX H:20CM (X CARA)</t>
  </si>
  <si>
    <t>ZOCALO ACERO INOX H:30CM (X CARA)</t>
  </si>
  <si>
    <t>CARPINTERIA P/ VENTANAS CH16 X M. LINEAL</t>
  </si>
  <si>
    <t>CARPINTERIA P/ VENTANAS INOX X M. LINEAL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</si>
</sst>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 &quot;$&quot;\ * #,##0.00_ ;_ &quot;$&quot;\ * \-#,##0.00_ ;_ &quot;$&quot;\ * &quot;-&quot;??_ ;_ @_ "/>
    <numFmt numFmtId="165" formatCode="_ &quot;$&quot;\ * #,##0_ ;_ &quot;$&quot;\ * \-#,##0_ ;_ &quot;$&quot;\ * &quot;-&quot;??_ ;_ @_ "/>
    <numFmt numFmtId="166" formatCode="_ &quot;$&quot;\ * #,##0.00_ ;_ &quot;$&quot;\ * \-#,##0.00_ ;_ &quot;$&quot;\ * &quot;-&quot;_ ;_ @_ 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entury Gothic"/>
      <family val="2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9"/>
      <color theme="10"/>
      <name val="Calibri"/>
      <family val="2"/>
      <scheme val="minor"/>
    </font>
    <font>
      <b/>
      <sz val="10"/>
      <name val="Century Gothic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Century Gothic"/>
      <family val="2"/>
    </font>
    <font>
      <sz val="12"/>
      <name val="Century Gothic"/>
      <family val="2"/>
    </font>
    <font>
      <u val="singleAccounting"/>
      <sz val="10"/>
      <name val="Century Gothic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93">
    <xf numFmtId="0" fontId="0" fillId="0" borderId="0" xfId="0"/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Font="1" applyBorder="1" applyAlignment="1"/>
    <xf numFmtId="0" fontId="0" fillId="0" borderId="0" xfId="0" applyFont="1"/>
    <xf numFmtId="14" fontId="0" fillId="0" borderId="0" xfId="0" applyNumberFormat="1" applyFont="1" applyBorder="1" applyAlignment="1"/>
    <xf numFmtId="0" fontId="0" fillId="0" borderId="0" xfId="0" applyFont="1" applyAlignment="1">
      <alignment horizontal="center"/>
    </xf>
    <xf numFmtId="0" fontId="0" fillId="0" borderId="0" xfId="0" applyFont="1" applyBorder="1"/>
    <xf numFmtId="0" fontId="0" fillId="0" borderId="1" xfId="0" applyFont="1" applyBorder="1"/>
    <xf numFmtId="0" fontId="0" fillId="0" borderId="11" xfId="0" applyFont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2" fontId="0" fillId="0" borderId="11" xfId="0" applyNumberFormat="1" applyFont="1" applyBorder="1" applyAlignment="1">
      <alignment horizontal="center"/>
    </xf>
    <xf numFmtId="0" fontId="0" fillId="0" borderId="11" xfId="0" applyFont="1" applyBorder="1"/>
    <xf numFmtId="2" fontId="0" fillId="0" borderId="11" xfId="0" applyNumberFormat="1" applyFont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 textRotation="90"/>
    </xf>
    <xf numFmtId="0" fontId="1" fillId="0" borderId="2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7" fillId="0" borderId="3" xfId="2" applyFont="1" applyBorder="1" applyAlignment="1">
      <alignment horizontal="center" vertical="center"/>
    </xf>
    <xf numFmtId="0" fontId="7" fillId="0" borderId="4" xfId="2" applyFont="1" applyBorder="1" applyAlignment="1">
      <alignment horizontal="center" vertical="center"/>
    </xf>
    <xf numFmtId="0" fontId="0" fillId="0" borderId="3" xfId="0" applyFont="1" applyBorder="1" applyAlignment="1"/>
    <xf numFmtId="0" fontId="0" fillId="0" borderId="4" xfId="0" applyFont="1" applyBorder="1" applyAlignment="1"/>
    <xf numFmtId="0" fontId="0" fillId="0" borderId="5" xfId="0" applyFont="1" applyBorder="1" applyAlignment="1"/>
    <xf numFmtId="0" fontId="0" fillId="0" borderId="6" xfId="0" applyFont="1" applyBorder="1" applyAlignment="1"/>
    <xf numFmtId="0" fontId="0" fillId="0" borderId="7" xfId="0" applyFont="1" applyBorder="1" applyAlignment="1"/>
    <xf numFmtId="49" fontId="0" fillId="0" borderId="0" xfId="0" applyNumberFormat="1"/>
    <xf numFmtId="2" fontId="0" fillId="0" borderId="0" xfId="0" applyNumberFormat="1"/>
    <xf numFmtId="164" fontId="0" fillId="0" borderId="11" xfId="0" applyNumberFormat="1" applyFont="1" applyBorder="1" applyAlignment="1">
      <alignment horizontal="center"/>
    </xf>
    <xf numFmtId="164" fontId="0" fillId="0" borderId="11" xfId="0" applyNumberFormat="1" applyFont="1" applyBorder="1"/>
    <xf numFmtId="164" fontId="0" fillId="0" borderId="1" xfId="0" applyNumberFormat="1" applyFont="1" applyBorder="1"/>
    <xf numFmtId="0" fontId="0" fillId="3" borderId="25" xfId="0" applyFont="1" applyFill="1" applyBorder="1" applyAlignment="1">
      <alignment horizontal="center" vertical="center" textRotation="90"/>
    </xf>
    <xf numFmtId="49" fontId="0" fillId="0" borderId="11" xfId="0" applyNumberFormat="1" applyFont="1" applyBorder="1" applyAlignment="1">
      <alignment horizontal="center"/>
    </xf>
    <xf numFmtId="165" fontId="11" fillId="0" borderId="0" xfId="0" applyNumberFormat="1" applyFont="1" applyFill="1" applyBorder="1" applyAlignment="1"/>
    <xf numFmtId="165" fontId="11" fillId="0" borderId="0" xfId="0" applyNumberFormat="1" applyFont="1" applyBorder="1" applyAlignment="1"/>
    <xf numFmtId="0" fontId="11" fillId="0" borderId="0" xfId="0" applyFont="1" applyBorder="1" applyAlignment="1"/>
    <xf numFmtId="0" fontId="9" fillId="0" borderId="0" xfId="0" applyFont="1" applyBorder="1" applyAlignment="1"/>
    <xf numFmtId="165" fontId="13" fillId="0" borderId="0" xfId="0" applyNumberFormat="1" applyFont="1" applyBorder="1" applyAlignment="1"/>
    <xf numFmtId="166" fontId="12" fillId="0" borderId="0" xfId="0" applyNumberFormat="1" applyFont="1" applyFill="1" applyBorder="1" applyAlignment="1" applyProtection="1">
      <alignment vertical="top" wrapText="1"/>
    </xf>
    <xf numFmtId="166" fontId="12" fillId="0" borderId="0" xfId="0" applyNumberFormat="1" applyFont="1" applyBorder="1" applyAlignment="1"/>
    <xf numFmtId="164" fontId="8" fillId="0" borderId="0" xfId="1" applyNumberFormat="1" applyFont="1" applyAlignment="1">
      <alignment vertical="center"/>
    </xf>
    <xf numFmtId="164" fontId="8" fillId="0" borderId="0" xfId="1" applyNumberFormat="1" applyFont="1" applyBorder="1" applyAlignment="1"/>
    <xf numFmtId="164" fontId="8" fillId="0" borderId="0" xfId="1" applyNumberFormat="1" applyFont="1" applyAlignment="1"/>
    <xf numFmtId="164" fontId="10" fillId="0" borderId="0" xfId="1" applyNumberFormat="1" applyFont="1"/>
    <xf numFmtId="164" fontId="1" fillId="0" borderId="0" xfId="1" applyNumberFormat="1" applyFont="1"/>
    <xf numFmtId="0" fontId="0" fillId="3" borderId="18" xfId="0" applyFont="1" applyFill="1" applyBorder="1" applyAlignment="1">
      <alignment horizontal="center" vertical="center" textRotation="90"/>
    </xf>
    <xf numFmtId="0" fontId="0" fillId="3" borderId="19" xfId="0" applyFont="1" applyFill="1" applyBorder="1" applyAlignment="1">
      <alignment horizontal="center" vertical="center" textRotation="90"/>
    </xf>
    <xf numFmtId="0" fontId="0" fillId="3" borderId="20" xfId="0" applyFont="1" applyFill="1" applyBorder="1" applyAlignment="1">
      <alignment horizontal="center" vertical="center" textRotation="90"/>
    </xf>
    <xf numFmtId="0" fontId="0" fillId="3" borderId="18" xfId="0" applyFont="1" applyFill="1" applyBorder="1" applyAlignment="1">
      <alignment horizontal="center" vertical="center"/>
    </xf>
    <xf numFmtId="0" fontId="0" fillId="3" borderId="19" xfId="0" applyFont="1" applyFill="1" applyBorder="1" applyAlignment="1">
      <alignment horizontal="center" vertical="center"/>
    </xf>
    <xf numFmtId="0" fontId="0" fillId="3" borderId="20" xfId="0" applyFont="1" applyFill="1" applyBorder="1" applyAlignment="1">
      <alignment horizontal="center" vertical="center"/>
    </xf>
    <xf numFmtId="0" fontId="0" fillId="0" borderId="29" xfId="0" applyFont="1" applyBorder="1" applyAlignment="1">
      <alignment horizontal="center"/>
    </xf>
    <xf numFmtId="0" fontId="0" fillId="0" borderId="30" xfId="0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0" fillId="0" borderId="25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4" fontId="0" fillId="0" borderId="0" xfId="0" applyNumberFormat="1" applyFont="1" applyBorder="1" applyAlignment="1">
      <alignment horizontal="center"/>
    </xf>
    <xf numFmtId="14" fontId="0" fillId="0" borderId="7" xfId="0" applyNumberFormat="1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8" xfId="0" applyFont="1" applyBorder="1" applyAlignment="1">
      <alignment horizontal="center"/>
    </xf>
    <xf numFmtId="0" fontId="6" fillId="0" borderId="24" xfId="2" applyBorder="1" applyAlignment="1">
      <alignment horizontal="center"/>
    </xf>
    <xf numFmtId="0" fontId="7" fillId="0" borderId="3" xfId="2" applyFont="1" applyBorder="1" applyAlignment="1">
      <alignment horizontal="center" vertical="center"/>
    </xf>
    <xf numFmtId="0" fontId="7" fillId="0" borderId="4" xfId="2" applyFont="1" applyBorder="1" applyAlignment="1">
      <alignment horizontal="center" vertical="center"/>
    </xf>
    <xf numFmtId="0" fontId="7" fillId="0" borderId="5" xfId="2" applyFont="1" applyBorder="1" applyAlignment="1">
      <alignment horizontal="center" vertical="center"/>
    </xf>
    <xf numFmtId="0" fontId="7" fillId="0" borderId="8" xfId="2" applyFont="1" applyBorder="1" applyAlignment="1">
      <alignment horizontal="center" vertical="center"/>
    </xf>
    <xf numFmtId="0" fontId="7" fillId="0" borderId="9" xfId="2" applyFont="1" applyBorder="1" applyAlignment="1">
      <alignment horizontal="center" vertical="center"/>
    </xf>
    <xf numFmtId="0" fontId="7" fillId="0" borderId="10" xfId="2" applyFont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 textRotation="90"/>
    </xf>
    <xf numFmtId="0" fontId="3" fillId="3" borderId="19" xfId="0" applyFont="1" applyFill="1" applyBorder="1" applyAlignment="1">
      <alignment horizontal="center" vertical="center" textRotation="90"/>
    </xf>
    <xf numFmtId="0" fontId="3" fillId="3" borderId="20" xfId="0" applyFont="1" applyFill="1" applyBorder="1" applyAlignment="1">
      <alignment horizontal="center" vertical="center" textRotation="90"/>
    </xf>
    <xf numFmtId="0" fontId="0" fillId="3" borderId="26" xfId="0" applyFont="1" applyFill="1" applyBorder="1" applyAlignment="1">
      <alignment horizontal="center" vertical="center" textRotation="90" wrapText="1"/>
    </xf>
    <xf numFmtId="0" fontId="0" fillId="3" borderId="27" xfId="0" applyFont="1" applyFill="1" applyBorder="1" applyAlignment="1">
      <alignment horizontal="center" vertical="center" textRotation="90" wrapText="1"/>
    </xf>
    <xf numFmtId="0" fontId="0" fillId="3" borderId="28" xfId="0" applyFont="1" applyFill="1" applyBorder="1" applyAlignment="1">
      <alignment horizontal="center" vertical="center" textRotation="90" wrapText="1"/>
    </xf>
    <xf numFmtId="0" fontId="0" fillId="3" borderId="12" xfId="0" applyFont="1" applyFill="1" applyBorder="1" applyAlignment="1">
      <alignment horizontal="center" vertical="center" textRotation="90" wrapText="1"/>
    </xf>
    <xf numFmtId="0" fontId="0" fillId="3" borderId="13" xfId="0" applyFont="1" applyFill="1" applyBorder="1" applyAlignment="1">
      <alignment horizontal="center" vertical="center" textRotation="90" wrapText="1"/>
    </xf>
    <xf numFmtId="0" fontId="0" fillId="3" borderId="14" xfId="0" applyFont="1" applyFill="1" applyBorder="1" applyAlignment="1">
      <alignment horizontal="center" vertical="center" textRotation="90" wrapText="1"/>
    </xf>
    <xf numFmtId="0" fontId="0" fillId="3" borderId="15" xfId="0" applyFont="1" applyFill="1" applyBorder="1" applyAlignment="1">
      <alignment horizontal="center" vertical="center" textRotation="90" wrapText="1"/>
    </xf>
    <xf numFmtId="0" fontId="0" fillId="3" borderId="16" xfId="0" applyFont="1" applyFill="1" applyBorder="1" applyAlignment="1">
      <alignment horizontal="center" vertical="center" textRotation="90" wrapText="1"/>
    </xf>
    <xf numFmtId="0" fontId="0" fillId="3" borderId="17" xfId="0" applyFont="1" applyFill="1" applyBorder="1" applyAlignment="1">
      <alignment horizontal="center" vertical="center" textRotation="90" wrapText="1"/>
    </xf>
    <xf numFmtId="0" fontId="0" fillId="3" borderId="21" xfId="0" applyFont="1" applyFill="1" applyBorder="1" applyAlignment="1">
      <alignment horizontal="center" vertical="center"/>
    </xf>
    <xf numFmtId="0" fontId="0" fillId="3" borderId="23" xfId="0" applyFont="1" applyFill="1" applyBorder="1" applyAlignment="1">
      <alignment horizontal="center" vertical="center"/>
    </xf>
    <xf numFmtId="0" fontId="0" fillId="3" borderId="22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/>
    </xf>
  </cellXfs>
  <cellStyles count="3">
    <cellStyle name="Hipervínculo" xfId="2" builtinId="8"/>
    <cellStyle name="Moneda" xfId="1" builtinId="4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57151</xdr:rowOff>
    </xdr:from>
    <xdr:to>
      <xdr:col>3</xdr:col>
      <xdr:colOff>1084208</xdr:colOff>
      <xdr:row>5</xdr:row>
      <xdr:rowOff>129541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151"/>
          <a:ext cx="2427233" cy="10477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6</xdr:row>
          <xdr:rowOff>175260</xdr:rowOff>
        </xdr:from>
        <xdr:to>
          <xdr:col>16</xdr:col>
          <xdr:colOff>518160</xdr:colOff>
          <xdr:row>10</xdr:row>
          <xdr:rowOff>83820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Ingresar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228600</xdr:colOff>
          <xdr:row>3</xdr:row>
          <xdr:rowOff>83820</xdr:rowOff>
        </xdr:from>
        <xdr:to>
          <xdr:col>16</xdr:col>
          <xdr:colOff>601980</xdr:colOff>
          <xdr:row>6</xdr:row>
          <xdr:rowOff>22860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236220</xdr:colOff>
          <xdr:row>0</xdr:row>
          <xdr:rowOff>137160</xdr:rowOff>
        </xdr:from>
        <xdr:to>
          <xdr:col>16</xdr:col>
          <xdr:colOff>716280</xdr:colOff>
          <xdr:row>2</xdr:row>
          <xdr:rowOff>99060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Quitar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495300</xdr:colOff>
          <xdr:row>3</xdr:row>
          <xdr:rowOff>30480</xdr:rowOff>
        </xdr:from>
        <xdr:to>
          <xdr:col>20</xdr:col>
          <xdr:colOff>449580</xdr:colOff>
          <xdr:row>6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Puerta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190500</xdr:colOff>
      <xdr:row>13</xdr:row>
      <xdr:rowOff>133350</xdr:rowOff>
    </xdr:from>
    <xdr:to>
      <xdr:col>7</xdr:col>
      <xdr:colOff>552450</xdr:colOff>
      <xdr:row>18</xdr:row>
      <xdr:rowOff>28575</xdr:rowOff>
    </xdr:to>
    <xdr:sp macro="" textlink="">
      <xdr:nvSpPr>
        <xdr:cNvPr id="3" name="CuadroTexto 2"/>
        <xdr:cNvSpPr txBox="1"/>
      </xdr:nvSpPr>
      <xdr:spPr>
        <a:xfrm>
          <a:off x="190500" y="5619750"/>
          <a:ext cx="5648325" cy="847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/>
          <a:r>
            <a:rPr lang="es-AR" sz="1100" b="1" i="0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GENERALIDADES</a:t>
          </a:r>
          <a:endParaRPr lang="es-ES">
            <a:effectLst/>
          </a:endParaRPr>
        </a:p>
        <a:p>
          <a:pPr rtl="0"/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FORMA DE PAGO: 50 % ACOPIO- 50 % SALDOS CONTRA ENTREGAS PARCIALES PREVIA ACREDITACION DE</a:t>
          </a:r>
          <a:r>
            <a:rPr lang="es-E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VALORES. </a:t>
          </a:r>
          <a:r>
            <a:rPr lang="es-AR" sz="1100" b="1" i="0" u="sng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PARA COORDINAR EL RETIRO DE LAS PUERTAS EL VALOR DE LAS MISMAS DEBERA ENCONTRARSE ACREDITADO</a:t>
          </a:r>
          <a:r>
            <a:rPr lang="es-AR" sz="1100" b="1" i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VALIDEZ DE LA OFERTA: 10 DÍAS. TIEMPO DE ENTREGA: 30 DÍAS. COSTO DE ENTREGA: CABA $500.</a:t>
          </a:r>
          <a:endParaRPr lang="es-ES">
            <a:effectLst/>
          </a:endParaRPr>
        </a:p>
        <a:p>
          <a:endParaRPr lang="es-ES" sz="1100"/>
        </a:p>
      </xdr:txBody>
    </xdr:sp>
    <xdr:clientData/>
  </xdr:twoCellAnchor>
  <xdr:twoCellAnchor>
    <xdr:from>
      <xdr:col>7</xdr:col>
      <xdr:colOff>828675</xdr:colOff>
      <xdr:row>13</xdr:row>
      <xdr:rowOff>114301</xdr:rowOff>
    </xdr:from>
    <xdr:to>
      <xdr:col>14</xdr:col>
      <xdr:colOff>809625</xdr:colOff>
      <xdr:row>17</xdr:row>
      <xdr:rowOff>1</xdr:rowOff>
    </xdr:to>
    <xdr:sp macro="" textlink="">
      <xdr:nvSpPr>
        <xdr:cNvPr id="4" name="CuadroTexto 3"/>
        <xdr:cNvSpPr txBox="1"/>
      </xdr:nvSpPr>
      <xdr:spPr>
        <a:xfrm>
          <a:off x="6115050" y="5600701"/>
          <a:ext cx="8334375" cy="647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NOTA: LAS PUERTAS CORTAFUEGO HAN SIDO ENSAYADAS Y CALIFICADAS EN EL INTI EN UNA  ESTANDARIZACION DE PL 900 X 2000 MM EN PUERTAS DE UNA HOJA Y 1400X2000 EN DOBLE HOJA BAJO LAS NORMAS IRAM 11949/50/51. LAS PUERTAS FUERA DE ESTANDARIZACION SERAN CONSTRUIDAS CON EL MISMO CRITERIO DE FABRICACION. </a:t>
          </a:r>
          <a:endParaRPr lang="es-ES">
            <a:effectLst/>
          </a:endParaRPr>
        </a:p>
        <a:p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comprasbaicse@gmail.com" TargetMode="External"/><Relationship Id="rId1" Type="http://schemas.openxmlformats.org/officeDocument/2006/relationships/hyperlink" Target="mailto:ventas@mesquita.com.ar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Q24"/>
  <sheetViews>
    <sheetView workbookViewId="0">
      <pane ySplit="12" topLeftCell="A13" activePane="bottomLeft" state="frozen"/>
      <selection pane="bottomLeft" activeCell="K10" sqref="K10:L12"/>
    </sheetView>
  </sheetViews>
  <sheetFormatPr baseColWidth="10" defaultColWidth="9.109375" defaultRowHeight="14.4" x14ac:dyDescent="0.3"/>
  <cols>
    <col min="1" max="1" width="9.6640625" customWidth="1"/>
    <col min="2" max="3" width="5.6640625" customWidth="1"/>
    <col min="4" max="4" width="29.88671875" customWidth="1"/>
    <col min="5" max="5" width="8.88671875" customWidth="1"/>
    <col min="7" max="7" width="10.33203125" customWidth="1"/>
    <col min="8" max="9" width="14.88671875" customWidth="1"/>
    <col min="11" max="11" width="3.5546875" customWidth="1"/>
    <col min="12" max="12" width="16.21875" customWidth="1"/>
    <col min="13" max="13" width="3.5546875" customWidth="1"/>
    <col min="14" max="14" width="13.6640625" customWidth="1"/>
    <col min="15" max="15" width="15.88671875" customWidth="1"/>
    <col min="16" max="16" width="14.44140625" customWidth="1"/>
    <col min="17" max="17" width="12.44140625" bestFit="1" customWidth="1"/>
  </cols>
  <sheetData>
    <row r="1" spans="1:17" ht="15" thickBot="1" x14ac:dyDescent="0.35">
      <c r="A1" s="21"/>
      <c r="B1" s="22"/>
      <c r="C1" s="22"/>
      <c r="D1" s="23"/>
      <c r="E1" s="6"/>
      <c r="F1" s="53" t="s">
        <v>9</v>
      </c>
      <c r="G1" s="54"/>
      <c r="H1" s="61" t="s">
        <v>214</v>
      </c>
      <c r="I1" s="62"/>
      <c r="J1" s="5"/>
      <c r="K1" s="6"/>
      <c r="L1" s="6"/>
      <c r="M1" s="6"/>
      <c r="N1" s="6"/>
      <c r="O1" s="6"/>
      <c r="P1" s="6"/>
      <c r="Q1" s="6"/>
    </row>
    <row r="2" spans="1:17" ht="15" thickBot="1" x14ac:dyDescent="0.35">
      <c r="A2" s="24"/>
      <c r="B2" s="5"/>
      <c r="C2" s="5"/>
      <c r="D2" s="25"/>
      <c r="E2" s="6"/>
      <c r="F2" s="53" t="s">
        <v>10</v>
      </c>
      <c r="G2" s="54"/>
      <c r="H2" s="59">
        <v>42384</v>
      </c>
      <c r="I2" s="60"/>
      <c r="J2" s="7"/>
      <c r="K2" s="6"/>
      <c r="L2" s="6"/>
      <c r="M2" s="6"/>
      <c r="N2" s="6"/>
      <c r="O2" s="6"/>
      <c r="P2" s="6"/>
      <c r="Q2" s="6"/>
    </row>
    <row r="3" spans="1:17" x14ac:dyDescent="0.3">
      <c r="A3" s="24"/>
      <c r="B3" s="5"/>
      <c r="C3" s="5"/>
      <c r="D3" s="25"/>
      <c r="E3" s="6"/>
      <c r="F3" s="63" t="s">
        <v>196</v>
      </c>
      <c r="G3" s="64"/>
      <c r="H3" s="64"/>
      <c r="I3" s="65"/>
      <c r="J3" s="5"/>
      <c r="K3" s="6"/>
      <c r="L3" s="6"/>
      <c r="M3" s="6"/>
      <c r="N3" s="6"/>
      <c r="O3" s="6"/>
      <c r="P3" s="6"/>
      <c r="Q3" s="6"/>
    </row>
    <row r="4" spans="1:17" ht="15" thickBot="1" x14ac:dyDescent="0.35">
      <c r="A4" s="24"/>
      <c r="B4" s="5"/>
      <c r="C4" s="5"/>
      <c r="D4" s="25"/>
      <c r="E4" s="6"/>
      <c r="F4" s="66"/>
      <c r="G4" s="67"/>
      <c r="H4" s="67"/>
      <c r="I4" s="68"/>
      <c r="J4" s="5"/>
      <c r="K4" s="6"/>
      <c r="L4" s="6"/>
      <c r="M4" s="6"/>
      <c r="N4" s="6"/>
      <c r="O4" s="6"/>
      <c r="P4" s="6"/>
      <c r="Q4" s="6"/>
    </row>
    <row r="5" spans="1:17" ht="15" thickBot="1" x14ac:dyDescent="0.35">
      <c r="A5" s="24"/>
      <c r="B5" s="5"/>
      <c r="C5" s="5"/>
      <c r="D5" s="25"/>
      <c r="E5" s="6"/>
      <c r="F5" s="53" t="s">
        <v>11</v>
      </c>
      <c r="G5" s="54"/>
      <c r="H5" s="57" t="s">
        <v>197</v>
      </c>
      <c r="I5" s="58"/>
      <c r="J5" s="5"/>
      <c r="K5" s="6"/>
      <c r="L5" s="6"/>
      <c r="M5" s="6"/>
      <c r="N5" s="6"/>
      <c r="O5" s="6"/>
      <c r="P5" s="6"/>
      <c r="Q5" s="6"/>
    </row>
    <row r="6" spans="1:17" ht="15" thickBot="1" x14ac:dyDescent="0.35">
      <c r="A6" s="24"/>
      <c r="B6" s="5"/>
      <c r="C6" s="5"/>
      <c r="D6" s="25"/>
      <c r="E6" s="6"/>
      <c r="F6" s="53" t="s">
        <v>13</v>
      </c>
      <c r="G6" s="54"/>
      <c r="H6" s="57" t="s">
        <v>14</v>
      </c>
      <c r="I6" s="58"/>
      <c r="J6" s="5"/>
      <c r="K6" s="6"/>
      <c r="L6" s="6"/>
      <c r="M6" s="6"/>
      <c r="N6" s="6"/>
      <c r="O6" s="6"/>
      <c r="P6" s="6"/>
      <c r="Q6" s="6"/>
    </row>
    <row r="7" spans="1:17" ht="15" thickBot="1" x14ac:dyDescent="0.35">
      <c r="A7" s="71" t="s">
        <v>190</v>
      </c>
      <c r="B7" s="72"/>
      <c r="C7" s="73"/>
      <c r="D7" s="17" t="s">
        <v>191</v>
      </c>
      <c r="E7" s="6"/>
      <c r="F7" s="69" t="s">
        <v>12</v>
      </c>
      <c r="G7" s="56"/>
      <c r="H7" s="55" t="s">
        <v>213</v>
      </c>
      <c r="I7" s="56"/>
      <c r="J7" s="5"/>
      <c r="K7" s="6"/>
      <c r="L7" s="6"/>
      <c r="M7" s="6"/>
      <c r="N7" s="6"/>
      <c r="O7" s="6"/>
      <c r="P7" s="6"/>
      <c r="Q7" s="6"/>
    </row>
    <row r="8" spans="1:17" ht="15" thickBot="1" x14ac:dyDescent="0.35">
      <c r="A8" s="74"/>
      <c r="B8" s="75"/>
      <c r="C8" s="76"/>
      <c r="D8" s="17" t="s">
        <v>185</v>
      </c>
      <c r="E8" s="6"/>
      <c r="F8" s="53" t="s">
        <v>193</v>
      </c>
      <c r="G8" s="54"/>
      <c r="H8" s="70" t="s">
        <v>198</v>
      </c>
      <c r="I8" s="54"/>
      <c r="J8" s="6"/>
      <c r="K8" s="6"/>
      <c r="L8" s="6"/>
      <c r="M8" s="6"/>
      <c r="N8" s="6"/>
      <c r="O8" s="6"/>
      <c r="P8" s="6"/>
      <c r="Q8" s="6"/>
    </row>
    <row r="9" spans="1:17" ht="15" thickBot="1" x14ac:dyDescent="0.35">
      <c r="A9" s="19"/>
      <c r="B9" s="20"/>
      <c r="C9" s="20"/>
      <c r="D9" s="18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</row>
    <row r="10" spans="1:17" ht="18" customHeight="1" thickBot="1" x14ac:dyDescent="0.35">
      <c r="A10" s="77" t="s">
        <v>0</v>
      </c>
      <c r="B10" s="45" t="s">
        <v>2</v>
      </c>
      <c r="C10" s="45" t="s">
        <v>3</v>
      </c>
      <c r="D10" s="48" t="s">
        <v>1</v>
      </c>
      <c r="E10" s="45" t="s">
        <v>15</v>
      </c>
      <c r="F10" s="89" t="s">
        <v>8</v>
      </c>
      <c r="G10" s="91"/>
      <c r="H10" s="91"/>
      <c r="I10" s="90"/>
      <c r="J10" s="45" t="s">
        <v>172</v>
      </c>
      <c r="K10" s="83" t="s">
        <v>239</v>
      </c>
      <c r="L10" s="84"/>
      <c r="M10" s="83" t="s">
        <v>237</v>
      </c>
      <c r="N10" s="84"/>
      <c r="O10" s="80" t="s">
        <v>195</v>
      </c>
      <c r="P10" s="9"/>
      <c r="Q10" s="9"/>
    </row>
    <row r="11" spans="1:17" ht="18" customHeight="1" thickBot="1" x14ac:dyDescent="0.35">
      <c r="A11" s="78"/>
      <c r="B11" s="46"/>
      <c r="C11" s="46"/>
      <c r="D11" s="49"/>
      <c r="E11" s="46"/>
      <c r="F11" s="89" t="s">
        <v>6</v>
      </c>
      <c r="G11" s="90"/>
      <c r="H11" s="89" t="s">
        <v>7</v>
      </c>
      <c r="I11" s="90"/>
      <c r="J11" s="46"/>
      <c r="K11" s="85"/>
      <c r="L11" s="86"/>
      <c r="M11" s="85"/>
      <c r="N11" s="86"/>
      <c r="O11" s="81"/>
      <c r="P11" s="9"/>
      <c r="Q11" s="9"/>
    </row>
    <row r="12" spans="1:17" ht="144.75" customHeight="1" thickBot="1" x14ac:dyDescent="0.35">
      <c r="A12" s="79"/>
      <c r="B12" s="47"/>
      <c r="C12" s="47"/>
      <c r="D12" s="50"/>
      <c r="E12" s="47"/>
      <c r="F12" s="16" t="s">
        <v>4</v>
      </c>
      <c r="G12" s="16" t="s">
        <v>5</v>
      </c>
      <c r="H12" s="16" t="s">
        <v>4</v>
      </c>
      <c r="I12" s="16" t="s">
        <v>5</v>
      </c>
      <c r="J12" s="47"/>
      <c r="K12" s="87"/>
      <c r="L12" s="88"/>
      <c r="M12" s="87"/>
      <c r="N12" s="88"/>
      <c r="O12" s="82"/>
      <c r="P12" s="31" t="s">
        <v>183</v>
      </c>
      <c r="Q12" s="16" t="s">
        <v>184</v>
      </c>
    </row>
    <row r="13" spans="1:17" ht="15" thickBot="1" x14ac:dyDescent="0.35">
      <c r="A13" s="32" t="s">
        <v>199</v>
      </c>
      <c r="B13" s="51">
        <v>4</v>
      </c>
      <c r="C13" s="52"/>
      <c r="D13" s="12" t="s">
        <v>138</v>
      </c>
      <c r="E13" s="11" t="s">
        <v>212</v>
      </c>
      <c r="F13" s="11">
        <f>VLOOKUP($D13,Precios!$C$4:$J$86,2,FALSE)</f>
        <v>1200</v>
      </c>
      <c r="G13" s="11">
        <f>VLOOKUP($D13,Precios!$C$4:$J$86,3,FALSE)</f>
        <v>2000</v>
      </c>
      <c r="H13" s="11">
        <f>VLOOKUP($D13,Precios!$C$4:$J$86,4,FALSE)</f>
        <v>1300</v>
      </c>
      <c r="I13" s="11">
        <f>VLOOKUP($D13,Precios!$C$4:$J$86,5,FALSE)</f>
        <v>2050</v>
      </c>
      <c r="J13" s="13">
        <f>VLOOKUP($D13,Precios!$C$4:$J$86,8,FALSE)</f>
        <v>8841</v>
      </c>
      <c r="K13" s="14">
        <v>1</v>
      </c>
      <c r="L13" s="15">
        <f>IF(NOT(ISBLANK(K13)),PRODUCT(K13,VLOOKUP(K$10,Precios!$C$88:$J$116,8,FALSE)), "-")</f>
        <v>930</v>
      </c>
      <c r="M13" s="14">
        <v>1</v>
      </c>
      <c r="N13" s="15">
        <f>IF(NOT(ISBLANK(M13)),PRODUCT(M13,VLOOKUP(M$10,Precios!$C$88:$J$116,8,FALSE)), "-")</f>
        <v>660</v>
      </c>
      <c r="O13" s="15" t="s">
        <v>194</v>
      </c>
      <c r="P13" s="28">
        <f>SUMIFS($J13:$N13,$J13:$N13,"&gt;150")</f>
        <v>10431</v>
      </c>
      <c r="Q13" s="29">
        <f>PRODUCT(SUM(B13:C13),P13)</f>
        <v>41724</v>
      </c>
    </row>
    <row r="14" spans="1:17" x14ac:dyDescent="0.3">
      <c r="A14" s="6"/>
      <c r="B14" s="6"/>
      <c r="C14" s="6"/>
      <c r="D14" s="8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10" t="s">
        <v>186</v>
      </c>
      <c r="Q14" s="30">
        <f>SUM($Q13:$Q13)</f>
        <v>41724</v>
      </c>
    </row>
    <row r="15" spans="1:17" x14ac:dyDescent="0.3">
      <c r="A15" s="6"/>
      <c r="B15" s="6"/>
      <c r="C15" s="6"/>
      <c r="D15" s="8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10" t="s">
        <v>187</v>
      </c>
      <c r="Q15" s="30">
        <f>PRODUCT(Q14,0.21)</f>
        <v>8762.0399999999991</v>
      </c>
    </row>
    <row r="16" spans="1:17" x14ac:dyDescent="0.3">
      <c r="A16" s="6"/>
      <c r="B16" s="6"/>
      <c r="C16" s="6"/>
      <c r="D16" s="8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10" t="s">
        <v>188</v>
      </c>
      <c r="Q16" s="30">
        <f>SUM(Q14:Q15)</f>
        <v>50486.04</v>
      </c>
    </row>
    <row r="17" spans="4:4" x14ac:dyDescent="0.3">
      <c r="D17" s="3"/>
    </row>
    <row r="18" spans="4:4" x14ac:dyDescent="0.3">
      <c r="D18" s="3"/>
    </row>
    <row r="19" spans="4:4" x14ac:dyDescent="0.3">
      <c r="D19" s="3"/>
    </row>
    <row r="20" spans="4:4" x14ac:dyDescent="0.3">
      <c r="D20" s="3"/>
    </row>
    <row r="21" spans="4:4" x14ac:dyDescent="0.3">
      <c r="D21" s="3"/>
    </row>
    <row r="22" spans="4:4" x14ac:dyDescent="0.3">
      <c r="D22" s="3"/>
    </row>
    <row r="23" spans="4:4" x14ac:dyDescent="0.3">
      <c r="D23" s="3"/>
    </row>
    <row r="24" spans="4:4" x14ac:dyDescent="0.3">
      <c r="D24" s="3"/>
    </row>
  </sheetData>
  <mergeCells count="27">
    <mergeCell ref="F8:G8"/>
    <mergeCell ref="H8:I8"/>
    <mergeCell ref="A7:C8"/>
    <mergeCell ref="A10:A12"/>
    <mergeCell ref="O10:O12"/>
    <mergeCell ref="K10:L12"/>
    <mergeCell ref="J10:J12"/>
    <mergeCell ref="F11:G11"/>
    <mergeCell ref="H11:I11"/>
    <mergeCell ref="F10:I10"/>
    <mergeCell ref="M10:N12"/>
    <mergeCell ref="F1:G1"/>
    <mergeCell ref="H7:I7"/>
    <mergeCell ref="H5:I5"/>
    <mergeCell ref="H2:I2"/>
    <mergeCell ref="H1:I1"/>
    <mergeCell ref="F3:I4"/>
    <mergeCell ref="F6:G6"/>
    <mergeCell ref="H6:I6"/>
    <mergeCell ref="F7:G7"/>
    <mergeCell ref="F5:G5"/>
    <mergeCell ref="F2:G2"/>
    <mergeCell ref="B10:B12"/>
    <mergeCell ref="C10:C12"/>
    <mergeCell ref="D10:D12"/>
    <mergeCell ref="E10:E12"/>
    <mergeCell ref="B13:C13"/>
  </mergeCells>
  <dataValidations count="1">
    <dataValidation type="list" allowBlank="1" showInputMessage="1" showErrorMessage="1" sqref="D13">
      <formula1>PUERTAS</formula1>
    </dataValidation>
  </dataValidations>
  <hyperlinks>
    <hyperlink ref="A7" r:id="rId1"/>
    <hyperlink ref="H8" r:id="rId2"/>
  </hyperlinks>
  <printOptions horizontalCentered="1"/>
  <pageMargins left="0.25" right="0.25" top="0.75" bottom="0.75" header="0.3" footer="0.3"/>
  <pageSetup paperSize="9" scale="50" fitToHeight="0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Ingresar_Datos">
                <anchor moveWithCells="1" sizeWithCells="1">
                  <from>
                    <xdr:col>15</xdr:col>
                    <xdr:colOff>160020</xdr:colOff>
                    <xdr:row>6</xdr:row>
                    <xdr:rowOff>175260</xdr:rowOff>
                  </from>
                  <to>
                    <xdr:col>16</xdr:col>
                    <xdr:colOff>518160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Button 26">
              <controlPr defaultSize="0" print="0" autoFill="0" autoPict="0" macro="[0]!Agregar_Item">
                <anchor moveWithCells="1" sizeWithCells="1">
                  <from>
                    <xdr:col>15</xdr:col>
                    <xdr:colOff>228600</xdr:colOff>
                    <xdr:row>3</xdr:row>
                    <xdr:rowOff>83820</xdr:rowOff>
                  </from>
                  <to>
                    <xdr:col>16</xdr:col>
                    <xdr:colOff>601980</xdr:colOff>
                    <xdr:row>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Button 30">
              <controlPr defaultSize="0" print="0" autoFill="0" autoPict="0" macro="[0]!Quitar_Item">
                <anchor moveWithCells="1" sizeWithCells="1">
                  <from>
                    <xdr:col>15</xdr:col>
                    <xdr:colOff>236220</xdr:colOff>
                    <xdr:row>0</xdr:row>
                    <xdr:rowOff>137160</xdr:rowOff>
                  </from>
                  <to>
                    <xdr:col>16</xdr:col>
                    <xdr:colOff>716280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9" name="Button 32">
              <controlPr defaultSize="0" print="0" autoFill="0" autoPict="0" macro="[0]!AgregarPuerta">
                <anchor moveWithCells="1" sizeWithCells="1">
                  <from>
                    <xdr:col>17</xdr:col>
                    <xdr:colOff>495300</xdr:colOff>
                    <xdr:row>3</xdr:row>
                    <xdr:rowOff>30480</xdr:rowOff>
                  </from>
                  <to>
                    <xdr:col>20</xdr:col>
                    <xdr:colOff>449580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Precios!$C$4:$C$86</xm:f>
          </x14:formula1>
          <xm:sqref>D14:D24</xm:sqref>
        </x14:dataValidation>
        <x14:dataValidation type="list" allowBlank="1" showInputMessage="1" showErrorMessage="1">
          <x14:formula1>
            <xm:f>Precios!$C$88:$C$112</xm:f>
          </x14:formula1>
          <xm:sqref>M10:N12</xm:sqref>
        </x14:dataValidation>
        <x14:dataValidation type="list" allowBlank="1" showInputMessage="1" showErrorMessage="1">
          <x14:formula1>
            <xm:f>Precios!$C$88:$C$116</xm:f>
          </x14:formula1>
          <xm:sqref>K10:L12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116"/>
  <sheetViews>
    <sheetView tabSelected="1" topLeftCell="A88" workbookViewId="0">
      <selection activeCell="J4" sqref="J4"/>
    </sheetView>
  </sheetViews>
  <sheetFormatPr baseColWidth="10" defaultColWidth="9.109375" defaultRowHeight="14.4" x14ac:dyDescent="0.3"/>
  <cols>
    <col min="1" max="1" width="11.6640625" style="1" customWidth="1"/>
    <col min="2" max="2" width="11.33203125" style="1" customWidth="1"/>
    <col min="3" max="3" width="39.6640625" customWidth="1"/>
    <col min="4" max="4" width="10.109375" customWidth="1"/>
    <col min="6" max="6" width="10.44140625" customWidth="1"/>
    <col min="7" max="7" width="9.88671875" customWidth="1"/>
    <col min="8" max="9" width="2.109375" customWidth="1"/>
    <col min="10" max="10" width="20.33203125" customWidth="1"/>
  </cols>
  <sheetData>
    <row r="1" spans="1:12" ht="15" x14ac:dyDescent="0.25">
      <c r="A1" s="92" t="s">
        <v>182</v>
      </c>
      <c r="B1" s="92"/>
      <c r="C1" s="92"/>
      <c r="D1" s="92"/>
      <c r="E1" s="92"/>
      <c r="F1" s="92"/>
      <c r="G1" s="92"/>
      <c r="H1" s="92"/>
      <c r="I1" s="92"/>
      <c r="J1" s="92"/>
    </row>
    <row r="2" spans="1:12" ht="15" x14ac:dyDescent="0.25">
      <c r="A2" s="1" t="s">
        <v>181</v>
      </c>
      <c r="B2" s="1" t="s">
        <v>180</v>
      </c>
      <c r="C2" s="3" t="s">
        <v>179</v>
      </c>
      <c r="D2" s="3" t="s">
        <v>178</v>
      </c>
      <c r="E2" s="3" t="s">
        <v>177</v>
      </c>
      <c r="F2" s="3" t="s">
        <v>176</v>
      </c>
      <c r="G2" s="3" t="s">
        <v>175</v>
      </c>
      <c r="H2" s="3" t="s">
        <v>174</v>
      </c>
      <c r="I2" s="3" t="s">
        <v>173</v>
      </c>
      <c r="J2" s="3" t="s">
        <v>172</v>
      </c>
      <c r="L2" s="27"/>
    </row>
    <row r="3" spans="1:12" ht="15" x14ac:dyDescent="0.3">
      <c r="A3" s="1" t="s">
        <v>201</v>
      </c>
      <c r="B3" s="1" t="s">
        <v>14</v>
      </c>
      <c r="C3" t="s">
        <v>204</v>
      </c>
      <c r="D3">
        <v>700</v>
      </c>
      <c r="E3">
        <v>2000</v>
      </c>
      <c r="F3">
        <f t="shared" ref="F3:F71" si="0">SUM($D3,100)</f>
        <v>800</v>
      </c>
      <c r="G3">
        <f t="shared" ref="G3:G71" si="1">SUM($E3,50)</f>
        <v>2050</v>
      </c>
      <c r="H3" t="s">
        <v>17</v>
      </c>
      <c r="J3" s="38">
        <v>5537</v>
      </c>
    </row>
    <row r="4" spans="1:12" ht="15" x14ac:dyDescent="0.3">
      <c r="A4" s="1" t="s">
        <v>171</v>
      </c>
      <c r="B4" s="1" t="s">
        <v>14</v>
      </c>
      <c r="C4" t="s">
        <v>205</v>
      </c>
      <c r="D4">
        <v>800</v>
      </c>
      <c r="E4">
        <v>2000</v>
      </c>
      <c r="F4">
        <f t="shared" si="0"/>
        <v>900</v>
      </c>
      <c r="G4">
        <f t="shared" si="1"/>
        <v>2050</v>
      </c>
      <c r="H4" t="s">
        <v>17</v>
      </c>
      <c r="J4" s="38">
        <v>5537</v>
      </c>
    </row>
    <row r="5" spans="1:12" ht="15" x14ac:dyDescent="0.3">
      <c r="A5" s="1" t="s">
        <v>170</v>
      </c>
      <c r="B5" s="1" t="s">
        <v>14</v>
      </c>
      <c r="C5" t="s">
        <v>206</v>
      </c>
      <c r="D5">
        <v>900</v>
      </c>
      <c r="E5">
        <v>2000</v>
      </c>
      <c r="F5">
        <f t="shared" si="0"/>
        <v>1000</v>
      </c>
      <c r="G5">
        <f t="shared" si="1"/>
        <v>2050</v>
      </c>
      <c r="H5" t="s">
        <v>17</v>
      </c>
      <c r="J5" s="38">
        <v>6114</v>
      </c>
    </row>
    <row r="6" spans="1:12" ht="15" x14ac:dyDescent="0.3">
      <c r="A6" s="1" t="s">
        <v>169</v>
      </c>
      <c r="B6" s="1" t="s">
        <v>14</v>
      </c>
      <c r="C6" t="s">
        <v>168</v>
      </c>
      <c r="D6">
        <v>1000</v>
      </c>
      <c r="E6">
        <v>2000</v>
      </c>
      <c r="F6">
        <f t="shared" si="0"/>
        <v>1100</v>
      </c>
      <c r="G6">
        <f t="shared" si="1"/>
        <v>2050</v>
      </c>
      <c r="H6" t="s">
        <v>17</v>
      </c>
      <c r="J6" s="38">
        <v>6686</v>
      </c>
    </row>
    <row r="7" spans="1:12" ht="15" x14ac:dyDescent="0.3">
      <c r="A7" s="1" t="s">
        <v>167</v>
      </c>
      <c r="B7" s="1" t="s">
        <v>14</v>
      </c>
      <c r="C7" t="s">
        <v>166</v>
      </c>
      <c r="D7">
        <v>1100</v>
      </c>
      <c r="E7">
        <v>2000</v>
      </c>
      <c r="F7">
        <f t="shared" si="0"/>
        <v>1200</v>
      </c>
      <c r="G7">
        <f t="shared" si="1"/>
        <v>2050</v>
      </c>
      <c r="H7" t="s">
        <v>17</v>
      </c>
      <c r="J7" s="38">
        <v>7368</v>
      </c>
    </row>
    <row r="8" spans="1:12" ht="15" x14ac:dyDescent="0.3">
      <c r="A8" s="1" t="s">
        <v>165</v>
      </c>
      <c r="B8" s="1" t="s">
        <v>14</v>
      </c>
      <c r="C8" t="s">
        <v>164</v>
      </c>
      <c r="D8">
        <v>1200</v>
      </c>
      <c r="E8">
        <v>2000</v>
      </c>
      <c r="F8">
        <f t="shared" si="0"/>
        <v>1300</v>
      </c>
      <c r="G8">
        <f t="shared" si="1"/>
        <v>2050</v>
      </c>
      <c r="I8" t="s">
        <v>17</v>
      </c>
      <c r="J8" s="38">
        <v>7918</v>
      </c>
    </row>
    <row r="9" spans="1:12" ht="15" x14ac:dyDescent="0.3">
      <c r="A9" s="1" t="s">
        <v>163</v>
      </c>
      <c r="B9" s="1" t="s">
        <v>14</v>
      </c>
      <c r="C9" t="s">
        <v>162</v>
      </c>
      <c r="D9">
        <v>1300</v>
      </c>
      <c r="E9">
        <v>2000</v>
      </c>
      <c r="F9">
        <f t="shared" si="0"/>
        <v>1400</v>
      </c>
      <c r="G9">
        <f t="shared" si="1"/>
        <v>2050</v>
      </c>
      <c r="I9" t="s">
        <v>17</v>
      </c>
      <c r="J9" s="38">
        <v>9262</v>
      </c>
    </row>
    <row r="10" spans="1:12" ht="15" x14ac:dyDescent="0.3">
      <c r="A10" s="1" t="s">
        <v>161</v>
      </c>
      <c r="B10" s="1" t="s">
        <v>14</v>
      </c>
      <c r="C10" t="s">
        <v>160</v>
      </c>
      <c r="D10">
        <v>1400</v>
      </c>
      <c r="E10">
        <v>2000</v>
      </c>
      <c r="F10">
        <f t="shared" si="0"/>
        <v>1500</v>
      </c>
      <c r="G10">
        <f t="shared" si="1"/>
        <v>2050</v>
      </c>
      <c r="I10" t="s">
        <v>17</v>
      </c>
      <c r="J10" s="38">
        <v>9634</v>
      </c>
    </row>
    <row r="11" spans="1:12" ht="15" x14ac:dyDescent="0.3">
      <c r="A11" s="1" t="s">
        <v>159</v>
      </c>
      <c r="B11" s="1" t="s">
        <v>14</v>
      </c>
      <c r="C11" t="s">
        <v>158</v>
      </c>
      <c r="D11">
        <v>1500</v>
      </c>
      <c r="E11">
        <v>2000</v>
      </c>
      <c r="F11">
        <f t="shared" si="0"/>
        <v>1600</v>
      </c>
      <c r="G11">
        <f t="shared" si="1"/>
        <v>2050</v>
      </c>
      <c r="I11" t="s">
        <v>17</v>
      </c>
      <c r="J11" s="38">
        <v>10007</v>
      </c>
    </row>
    <row r="12" spans="1:12" ht="15" x14ac:dyDescent="0.3">
      <c r="A12" s="1" t="s">
        <v>157</v>
      </c>
      <c r="B12" s="1" t="s">
        <v>14</v>
      </c>
      <c r="C12" t="s">
        <v>156</v>
      </c>
      <c r="D12">
        <v>1600</v>
      </c>
      <c r="E12">
        <v>2000</v>
      </c>
      <c r="F12">
        <f t="shared" si="0"/>
        <v>1700</v>
      </c>
      <c r="G12">
        <f t="shared" si="1"/>
        <v>2050</v>
      </c>
      <c r="I12" t="s">
        <v>17</v>
      </c>
      <c r="J12" s="38">
        <v>10832</v>
      </c>
    </row>
    <row r="13" spans="1:12" ht="15" x14ac:dyDescent="0.3">
      <c r="A13" s="1" t="s">
        <v>155</v>
      </c>
      <c r="B13" s="1" t="s">
        <v>14</v>
      </c>
      <c r="C13" t="s">
        <v>154</v>
      </c>
      <c r="D13">
        <v>1700</v>
      </c>
      <c r="E13">
        <v>2000</v>
      </c>
      <c r="F13">
        <f t="shared" si="0"/>
        <v>1800</v>
      </c>
      <c r="G13">
        <f t="shared" si="1"/>
        <v>2050</v>
      </c>
      <c r="I13" t="s">
        <v>17</v>
      </c>
      <c r="J13" s="38">
        <v>11712</v>
      </c>
    </row>
    <row r="14" spans="1:12" ht="15" x14ac:dyDescent="0.3">
      <c r="A14" s="1" t="s">
        <v>153</v>
      </c>
      <c r="B14" s="1" t="s">
        <v>14</v>
      </c>
      <c r="C14" t="s">
        <v>152</v>
      </c>
      <c r="D14">
        <v>1800</v>
      </c>
      <c r="E14">
        <v>2000</v>
      </c>
      <c r="F14">
        <f t="shared" si="0"/>
        <v>1900</v>
      </c>
      <c r="G14">
        <f t="shared" si="1"/>
        <v>2050</v>
      </c>
      <c r="I14" t="s">
        <v>17</v>
      </c>
      <c r="J14" s="38">
        <v>12592</v>
      </c>
    </row>
    <row r="15" spans="1:12" ht="15" x14ac:dyDescent="0.3">
      <c r="A15" s="1" t="s">
        <v>151</v>
      </c>
      <c r="B15" s="1" t="s">
        <v>14</v>
      </c>
      <c r="C15" t="s">
        <v>150</v>
      </c>
      <c r="D15">
        <v>1900</v>
      </c>
      <c r="E15">
        <v>2000</v>
      </c>
      <c r="F15">
        <f t="shared" si="0"/>
        <v>2000</v>
      </c>
      <c r="G15">
        <f t="shared" si="1"/>
        <v>2050</v>
      </c>
      <c r="I15" t="s">
        <v>17</v>
      </c>
      <c r="J15" s="38">
        <v>13636</v>
      </c>
    </row>
    <row r="16" spans="1:12" ht="15" x14ac:dyDescent="0.3">
      <c r="A16" s="1" t="s">
        <v>149</v>
      </c>
      <c r="B16" s="1" t="s">
        <v>14</v>
      </c>
      <c r="C16" t="s">
        <v>148</v>
      </c>
      <c r="D16">
        <v>2000</v>
      </c>
      <c r="E16">
        <v>2000</v>
      </c>
      <c r="F16">
        <f t="shared" si="0"/>
        <v>2100</v>
      </c>
      <c r="G16">
        <f t="shared" si="1"/>
        <v>2050</v>
      </c>
      <c r="I16" t="s">
        <v>17</v>
      </c>
      <c r="J16" s="38">
        <v>14736</v>
      </c>
    </row>
    <row r="17" spans="1:10" ht="15" x14ac:dyDescent="0.3">
      <c r="A17" s="1" t="s">
        <v>202</v>
      </c>
      <c r="B17" s="1" t="s">
        <v>14</v>
      </c>
      <c r="C17" t="s">
        <v>203</v>
      </c>
      <c r="D17">
        <v>700</v>
      </c>
      <c r="E17">
        <v>2000</v>
      </c>
      <c r="F17">
        <f t="shared" si="0"/>
        <v>800</v>
      </c>
      <c r="G17">
        <f t="shared" si="1"/>
        <v>2050</v>
      </c>
      <c r="H17" t="s">
        <v>17</v>
      </c>
      <c r="J17" s="38">
        <v>6103</v>
      </c>
    </row>
    <row r="18" spans="1:10" ht="15" x14ac:dyDescent="0.3">
      <c r="A18" s="1" t="s">
        <v>147</v>
      </c>
      <c r="B18" s="1" t="s">
        <v>14</v>
      </c>
      <c r="C18" t="s">
        <v>146</v>
      </c>
      <c r="D18">
        <v>800</v>
      </c>
      <c r="E18">
        <v>2000</v>
      </c>
      <c r="F18">
        <f t="shared" si="0"/>
        <v>900</v>
      </c>
      <c r="G18">
        <f t="shared" si="1"/>
        <v>2050</v>
      </c>
      <c r="H18" t="s">
        <v>17</v>
      </c>
      <c r="J18" s="38">
        <v>6103</v>
      </c>
    </row>
    <row r="19" spans="1:10" ht="15" x14ac:dyDescent="0.3">
      <c r="A19" s="1" t="s">
        <v>145</v>
      </c>
      <c r="B19" s="1" t="s">
        <v>14</v>
      </c>
      <c r="C19" t="s">
        <v>144</v>
      </c>
      <c r="D19">
        <v>900</v>
      </c>
      <c r="E19">
        <v>2000</v>
      </c>
      <c r="F19">
        <f t="shared" si="0"/>
        <v>1000</v>
      </c>
      <c r="G19">
        <f t="shared" si="1"/>
        <v>2050</v>
      </c>
      <c r="H19" t="s">
        <v>17</v>
      </c>
      <c r="J19" s="38">
        <v>6796</v>
      </c>
    </row>
    <row r="20" spans="1:10" ht="15" x14ac:dyDescent="0.3">
      <c r="A20" s="1" t="s">
        <v>143</v>
      </c>
      <c r="B20" s="1" t="s">
        <v>14</v>
      </c>
      <c r="C20" t="s">
        <v>142</v>
      </c>
      <c r="D20">
        <v>1000</v>
      </c>
      <c r="E20">
        <v>2000</v>
      </c>
      <c r="F20">
        <f t="shared" si="0"/>
        <v>1100</v>
      </c>
      <c r="G20">
        <f t="shared" si="1"/>
        <v>2050</v>
      </c>
      <c r="H20" t="s">
        <v>17</v>
      </c>
      <c r="J20" s="38">
        <v>7016</v>
      </c>
    </row>
    <row r="21" spans="1:10" ht="15" x14ac:dyDescent="0.3">
      <c r="A21" s="1" t="s">
        <v>141</v>
      </c>
      <c r="B21" s="1" t="s">
        <v>14</v>
      </c>
      <c r="C21" t="s">
        <v>140</v>
      </c>
      <c r="D21">
        <v>1100</v>
      </c>
      <c r="E21">
        <v>2000</v>
      </c>
      <c r="F21">
        <f t="shared" si="0"/>
        <v>1200</v>
      </c>
      <c r="G21">
        <f t="shared" si="1"/>
        <v>2050</v>
      </c>
      <c r="H21" t="s">
        <v>17</v>
      </c>
      <c r="J21" s="38">
        <v>8192</v>
      </c>
    </row>
    <row r="22" spans="1:10" ht="15" x14ac:dyDescent="0.3">
      <c r="A22" s="1" t="s">
        <v>139</v>
      </c>
      <c r="B22" s="1" t="s">
        <v>14</v>
      </c>
      <c r="C22" t="s">
        <v>138</v>
      </c>
      <c r="D22">
        <v>1200</v>
      </c>
      <c r="E22">
        <v>2000</v>
      </c>
      <c r="F22">
        <f t="shared" si="0"/>
        <v>1300</v>
      </c>
      <c r="G22">
        <f t="shared" si="1"/>
        <v>2050</v>
      </c>
      <c r="I22" t="s">
        <v>17</v>
      </c>
      <c r="J22" s="38">
        <v>8841</v>
      </c>
    </row>
    <row r="23" spans="1:10" ht="15" x14ac:dyDescent="0.3">
      <c r="A23" s="1" t="s">
        <v>137</v>
      </c>
      <c r="B23" s="1" t="s">
        <v>14</v>
      </c>
      <c r="C23" t="s">
        <v>136</v>
      </c>
      <c r="D23">
        <v>1300</v>
      </c>
      <c r="E23">
        <v>2000</v>
      </c>
      <c r="F23">
        <f t="shared" si="0"/>
        <v>1400</v>
      </c>
      <c r="G23">
        <f t="shared" si="1"/>
        <v>2050</v>
      </c>
      <c r="I23" t="s">
        <v>17</v>
      </c>
      <c r="J23" s="38">
        <v>9612</v>
      </c>
    </row>
    <row r="24" spans="1:10" ht="15" x14ac:dyDescent="0.3">
      <c r="A24" s="1" t="s">
        <v>135</v>
      </c>
      <c r="B24" s="1" t="s">
        <v>14</v>
      </c>
      <c r="C24" t="s">
        <v>134</v>
      </c>
      <c r="D24">
        <v>1400</v>
      </c>
      <c r="E24">
        <v>2000</v>
      </c>
      <c r="F24">
        <f t="shared" si="0"/>
        <v>1500</v>
      </c>
      <c r="G24">
        <f t="shared" si="1"/>
        <v>2050</v>
      </c>
      <c r="I24" t="s">
        <v>17</v>
      </c>
      <c r="J24" s="38">
        <v>10282</v>
      </c>
    </row>
    <row r="25" spans="1:10" ht="15" x14ac:dyDescent="0.3">
      <c r="A25" s="1" t="s">
        <v>133</v>
      </c>
      <c r="B25" s="1" t="s">
        <v>14</v>
      </c>
      <c r="C25" t="s">
        <v>132</v>
      </c>
      <c r="D25">
        <v>1500</v>
      </c>
      <c r="E25">
        <v>2000</v>
      </c>
      <c r="F25">
        <f t="shared" si="0"/>
        <v>1600</v>
      </c>
      <c r="G25">
        <f t="shared" si="1"/>
        <v>2050</v>
      </c>
      <c r="I25" t="s">
        <v>17</v>
      </c>
      <c r="J25" s="38">
        <v>11151</v>
      </c>
    </row>
    <row r="26" spans="1:10" ht="15" x14ac:dyDescent="0.3">
      <c r="A26" s="1" t="s">
        <v>131</v>
      </c>
      <c r="B26" s="1" t="s">
        <v>14</v>
      </c>
      <c r="C26" t="s">
        <v>130</v>
      </c>
      <c r="D26">
        <v>1600</v>
      </c>
      <c r="E26">
        <v>2000</v>
      </c>
      <c r="F26">
        <f t="shared" si="0"/>
        <v>1700</v>
      </c>
      <c r="G26">
        <f t="shared" si="1"/>
        <v>2050</v>
      </c>
      <c r="I26" t="s">
        <v>17</v>
      </c>
      <c r="J26" s="38">
        <v>12053</v>
      </c>
    </row>
    <row r="27" spans="1:10" ht="15" x14ac:dyDescent="0.3">
      <c r="A27" s="1" t="s">
        <v>129</v>
      </c>
      <c r="B27" s="1" t="s">
        <v>14</v>
      </c>
      <c r="C27" t="s">
        <v>128</v>
      </c>
      <c r="D27">
        <v>1700</v>
      </c>
      <c r="E27">
        <v>2000</v>
      </c>
      <c r="F27">
        <f t="shared" si="0"/>
        <v>1800</v>
      </c>
      <c r="G27">
        <f t="shared" si="1"/>
        <v>2050</v>
      </c>
      <c r="I27" t="s">
        <v>17</v>
      </c>
      <c r="J27" s="38">
        <v>13010</v>
      </c>
    </row>
    <row r="28" spans="1:10" ht="15" x14ac:dyDescent="0.3">
      <c r="A28" s="1" t="s">
        <v>127</v>
      </c>
      <c r="B28" s="1" t="s">
        <v>14</v>
      </c>
      <c r="C28" t="s">
        <v>126</v>
      </c>
      <c r="D28">
        <v>1800</v>
      </c>
      <c r="E28">
        <v>2000</v>
      </c>
      <c r="F28">
        <f t="shared" si="0"/>
        <v>1900</v>
      </c>
      <c r="G28">
        <f t="shared" si="1"/>
        <v>2050</v>
      </c>
      <c r="I28" t="s">
        <v>17</v>
      </c>
      <c r="J28" s="38">
        <v>14068</v>
      </c>
    </row>
    <row r="29" spans="1:10" ht="15" x14ac:dyDescent="0.3">
      <c r="A29" s="1" t="s">
        <v>125</v>
      </c>
      <c r="B29" s="1" t="s">
        <v>14</v>
      </c>
      <c r="C29" t="s">
        <v>124</v>
      </c>
      <c r="D29">
        <v>1900</v>
      </c>
      <c r="E29">
        <v>2000</v>
      </c>
      <c r="F29">
        <f t="shared" si="0"/>
        <v>2000</v>
      </c>
      <c r="G29">
        <f t="shared" si="1"/>
        <v>2050</v>
      </c>
      <c r="I29" t="s">
        <v>17</v>
      </c>
      <c r="J29" s="38">
        <v>14355</v>
      </c>
    </row>
    <row r="30" spans="1:10" ht="15" x14ac:dyDescent="0.3">
      <c r="A30" s="1" t="s">
        <v>123</v>
      </c>
      <c r="B30" s="1" t="s">
        <v>14</v>
      </c>
      <c r="C30" t="s">
        <v>122</v>
      </c>
      <c r="D30">
        <v>2000</v>
      </c>
      <c r="E30">
        <v>2000</v>
      </c>
      <c r="F30">
        <f t="shared" si="0"/>
        <v>2100</v>
      </c>
      <c r="G30">
        <f t="shared" si="1"/>
        <v>2050</v>
      </c>
      <c r="I30" t="s">
        <v>17</v>
      </c>
      <c r="J30" s="38">
        <v>16375</v>
      </c>
    </row>
    <row r="31" spans="1:10" ht="17.25" x14ac:dyDescent="0.3">
      <c r="A31" s="1" t="s">
        <v>207</v>
      </c>
      <c r="B31" s="1" t="s">
        <v>14</v>
      </c>
      <c r="C31" t="s">
        <v>208</v>
      </c>
      <c r="D31">
        <v>800</v>
      </c>
      <c r="E31">
        <v>2000</v>
      </c>
      <c r="F31">
        <f t="shared" si="0"/>
        <v>900</v>
      </c>
      <c r="G31">
        <f t="shared" si="1"/>
        <v>2050</v>
      </c>
      <c r="H31" t="s">
        <v>17</v>
      </c>
      <c r="J31" s="39">
        <v>11096</v>
      </c>
    </row>
    <row r="32" spans="1:10" ht="15.6" x14ac:dyDescent="0.3">
      <c r="A32" s="1" t="s">
        <v>121</v>
      </c>
      <c r="B32" s="1" t="s">
        <v>14</v>
      </c>
      <c r="C32" t="s">
        <v>120</v>
      </c>
      <c r="D32">
        <v>800</v>
      </c>
      <c r="E32">
        <v>2000</v>
      </c>
      <c r="F32">
        <f t="shared" si="0"/>
        <v>900</v>
      </c>
      <c r="G32">
        <f t="shared" si="1"/>
        <v>2050</v>
      </c>
      <c r="H32" t="s">
        <v>17</v>
      </c>
      <c r="J32" s="39">
        <v>11096</v>
      </c>
    </row>
    <row r="33" spans="1:10" ht="15.6" x14ac:dyDescent="0.3">
      <c r="A33" s="1" t="s">
        <v>119</v>
      </c>
      <c r="B33" s="1" t="s">
        <v>14</v>
      </c>
      <c r="C33" t="s">
        <v>118</v>
      </c>
      <c r="D33">
        <v>900</v>
      </c>
      <c r="E33">
        <v>2000</v>
      </c>
      <c r="F33">
        <f t="shared" si="0"/>
        <v>1000</v>
      </c>
      <c r="G33">
        <f t="shared" si="1"/>
        <v>2050</v>
      </c>
      <c r="H33" t="s">
        <v>17</v>
      </c>
      <c r="J33" s="39">
        <v>12537</v>
      </c>
    </row>
    <row r="34" spans="1:10" ht="15.6" x14ac:dyDescent="0.3">
      <c r="A34" s="1" t="s">
        <v>117</v>
      </c>
      <c r="B34" s="1" t="s">
        <v>14</v>
      </c>
      <c r="C34" t="s">
        <v>116</v>
      </c>
      <c r="D34">
        <v>1000</v>
      </c>
      <c r="E34">
        <v>2000</v>
      </c>
      <c r="F34">
        <f t="shared" si="0"/>
        <v>1100</v>
      </c>
      <c r="G34">
        <f t="shared" si="1"/>
        <v>2050</v>
      </c>
      <c r="H34" t="s">
        <v>17</v>
      </c>
      <c r="J34" s="39">
        <v>14213</v>
      </c>
    </row>
    <row r="35" spans="1:10" ht="15.6" x14ac:dyDescent="0.3">
      <c r="A35" s="1" t="s">
        <v>115</v>
      </c>
      <c r="B35" s="1" t="s">
        <v>14</v>
      </c>
      <c r="C35" t="s">
        <v>114</v>
      </c>
      <c r="D35">
        <v>1100</v>
      </c>
      <c r="E35">
        <v>2000</v>
      </c>
      <c r="F35">
        <f t="shared" si="0"/>
        <v>1200</v>
      </c>
      <c r="G35">
        <f t="shared" si="1"/>
        <v>2050</v>
      </c>
      <c r="H35" t="s">
        <v>17</v>
      </c>
      <c r="J35" s="39">
        <v>15671</v>
      </c>
    </row>
    <row r="36" spans="1:10" ht="15.6" x14ac:dyDescent="0.3">
      <c r="A36" s="1" t="s">
        <v>113</v>
      </c>
      <c r="B36" s="1" t="s">
        <v>14</v>
      </c>
      <c r="C36" t="s">
        <v>112</v>
      </c>
      <c r="D36">
        <v>1200</v>
      </c>
      <c r="E36">
        <v>2000</v>
      </c>
      <c r="F36">
        <f t="shared" si="0"/>
        <v>1300</v>
      </c>
      <c r="G36">
        <f t="shared" si="1"/>
        <v>2050</v>
      </c>
      <c r="I36" t="s">
        <v>17</v>
      </c>
      <c r="J36" s="39">
        <v>17100</v>
      </c>
    </row>
    <row r="37" spans="1:10" ht="15.6" x14ac:dyDescent="0.3">
      <c r="A37" s="1" t="s">
        <v>111</v>
      </c>
      <c r="B37" s="1" t="s">
        <v>14</v>
      </c>
      <c r="C37" t="s">
        <v>110</v>
      </c>
      <c r="D37">
        <v>1300</v>
      </c>
      <c r="E37">
        <v>2000</v>
      </c>
      <c r="F37">
        <f t="shared" si="0"/>
        <v>1400</v>
      </c>
      <c r="G37">
        <f t="shared" si="1"/>
        <v>2050</v>
      </c>
      <c r="I37" t="s">
        <v>17</v>
      </c>
      <c r="J37" s="39">
        <v>18552</v>
      </c>
    </row>
    <row r="38" spans="1:10" ht="15.6" x14ac:dyDescent="0.3">
      <c r="A38" s="1" t="s">
        <v>109</v>
      </c>
      <c r="B38" s="1" t="s">
        <v>14</v>
      </c>
      <c r="C38" t="s">
        <v>108</v>
      </c>
      <c r="D38">
        <v>1400</v>
      </c>
      <c r="E38">
        <v>2000</v>
      </c>
      <c r="F38">
        <f t="shared" si="0"/>
        <v>1500</v>
      </c>
      <c r="G38">
        <f t="shared" si="1"/>
        <v>2050</v>
      </c>
      <c r="I38" t="s">
        <v>17</v>
      </c>
      <c r="J38" s="39">
        <v>19971</v>
      </c>
    </row>
    <row r="39" spans="1:10" ht="15.6" x14ac:dyDescent="0.3">
      <c r="A39" s="1" t="s">
        <v>107</v>
      </c>
      <c r="B39" s="1" t="s">
        <v>14</v>
      </c>
      <c r="C39" t="s">
        <v>106</v>
      </c>
      <c r="D39">
        <v>1500</v>
      </c>
      <c r="E39">
        <v>2000</v>
      </c>
      <c r="F39">
        <f t="shared" si="0"/>
        <v>1600</v>
      </c>
      <c r="G39">
        <f t="shared" si="1"/>
        <v>2050</v>
      </c>
      <c r="I39" t="s">
        <v>17</v>
      </c>
      <c r="J39" s="39">
        <v>21400</v>
      </c>
    </row>
    <row r="40" spans="1:10" ht="15.6" x14ac:dyDescent="0.3">
      <c r="A40" s="1" t="s">
        <v>105</v>
      </c>
      <c r="B40" s="1" t="s">
        <v>14</v>
      </c>
      <c r="C40" t="s">
        <v>104</v>
      </c>
      <c r="D40">
        <v>1600</v>
      </c>
      <c r="E40">
        <v>2000</v>
      </c>
      <c r="F40">
        <f t="shared" si="0"/>
        <v>1700</v>
      </c>
      <c r="G40">
        <f t="shared" si="1"/>
        <v>2050</v>
      </c>
      <c r="I40" t="s">
        <v>17</v>
      </c>
      <c r="J40" s="39">
        <v>22820</v>
      </c>
    </row>
    <row r="41" spans="1:10" ht="15.6" x14ac:dyDescent="0.3">
      <c r="A41" s="1" t="s">
        <v>103</v>
      </c>
      <c r="B41" s="1" t="s">
        <v>14</v>
      </c>
      <c r="C41" t="s">
        <v>102</v>
      </c>
      <c r="D41">
        <v>1700</v>
      </c>
      <c r="E41">
        <v>2000</v>
      </c>
      <c r="F41">
        <f t="shared" si="0"/>
        <v>1800</v>
      </c>
      <c r="G41">
        <f t="shared" si="1"/>
        <v>2050</v>
      </c>
      <c r="I41" t="s">
        <v>17</v>
      </c>
      <c r="J41" s="39">
        <v>24249</v>
      </c>
    </row>
    <row r="42" spans="1:10" ht="15.6" x14ac:dyDescent="0.3">
      <c r="A42" s="1" t="s">
        <v>101</v>
      </c>
      <c r="B42" s="1" t="s">
        <v>14</v>
      </c>
      <c r="C42" t="s">
        <v>100</v>
      </c>
      <c r="D42">
        <v>1800</v>
      </c>
      <c r="E42">
        <v>2000</v>
      </c>
      <c r="F42">
        <f t="shared" si="0"/>
        <v>1900</v>
      </c>
      <c r="G42">
        <f t="shared" si="1"/>
        <v>2050</v>
      </c>
      <c r="I42" t="s">
        <v>17</v>
      </c>
      <c r="J42" s="39">
        <v>25679</v>
      </c>
    </row>
    <row r="43" spans="1:10" ht="15.6" x14ac:dyDescent="0.3">
      <c r="A43" s="1" t="s">
        <v>99</v>
      </c>
      <c r="B43" s="1" t="s">
        <v>14</v>
      </c>
      <c r="C43" t="s">
        <v>98</v>
      </c>
      <c r="D43">
        <v>1900</v>
      </c>
      <c r="E43">
        <v>2000</v>
      </c>
      <c r="F43">
        <f t="shared" si="0"/>
        <v>2000</v>
      </c>
      <c r="G43">
        <f t="shared" si="1"/>
        <v>2050</v>
      </c>
      <c r="I43" t="s">
        <v>17</v>
      </c>
      <c r="J43" s="39">
        <v>27108</v>
      </c>
    </row>
    <row r="44" spans="1:10" ht="15.6" x14ac:dyDescent="0.3">
      <c r="A44" s="1" t="s">
        <v>97</v>
      </c>
      <c r="B44" s="1" t="s">
        <v>14</v>
      </c>
      <c r="C44" t="s">
        <v>96</v>
      </c>
      <c r="D44">
        <v>2000</v>
      </c>
      <c r="E44">
        <v>2000</v>
      </c>
      <c r="F44">
        <f t="shared" si="0"/>
        <v>2100</v>
      </c>
      <c r="G44">
        <f t="shared" si="1"/>
        <v>2050</v>
      </c>
      <c r="I44" t="s">
        <v>17</v>
      </c>
      <c r="J44" s="39">
        <v>28548</v>
      </c>
    </row>
    <row r="45" spans="1:10" ht="15.6" x14ac:dyDescent="0.3">
      <c r="A45" s="1" t="s">
        <v>95</v>
      </c>
      <c r="B45" s="1" t="s">
        <v>14</v>
      </c>
      <c r="C45" t="s">
        <v>209</v>
      </c>
      <c r="D45">
        <v>700</v>
      </c>
      <c r="E45">
        <v>2000</v>
      </c>
      <c r="F45">
        <f t="shared" si="0"/>
        <v>800</v>
      </c>
      <c r="G45">
        <f t="shared" si="1"/>
        <v>2050</v>
      </c>
      <c r="H45" t="s">
        <v>17</v>
      </c>
      <c r="J45" s="39">
        <v>11481</v>
      </c>
    </row>
    <row r="46" spans="1:10" ht="15.6" x14ac:dyDescent="0.3">
      <c r="A46" s="1" t="s">
        <v>95</v>
      </c>
      <c r="B46" s="1" t="s">
        <v>14</v>
      </c>
      <c r="C46" t="s">
        <v>94</v>
      </c>
      <c r="D46">
        <v>800</v>
      </c>
      <c r="E46">
        <v>2000</v>
      </c>
      <c r="F46">
        <f t="shared" si="0"/>
        <v>900</v>
      </c>
      <c r="G46">
        <f t="shared" si="1"/>
        <v>2050</v>
      </c>
      <c r="H46" t="s">
        <v>17</v>
      </c>
      <c r="J46" s="39">
        <v>11481</v>
      </c>
    </row>
    <row r="47" spans="1:10" ht="15.6" x14ac:dyDescent="0.3">
      <c r="A47" s="1" t="s">
        <v>93</v>
      </c>
      <c r="B47" s="1" t="s">
        <v>14</v>
      </c>
      <c r="C47" t="s">
        <v>92</v>
      </c>
      <c r="D47">
        <v>900</v>
      </c>
      <c r="E47">
        <v>2000</v>
      </c>
      <c r="F47">
        <f t="shared" si="0"/>
        <v>1000</v>
      </c>
      <c r="G47">
        <f t="shared" si="1"/>
        <v>2050</v>
      </c>
      <c r="H47" t="s">
        <v>17</v>
      </c>
      <c r="J47" s="39">
        <v>12911</v>
      </c>
    </row>
    <row r="48" spans="1:10" ht="15.6" x14ac:dyDescent="0.3">
      <c r="A48" s="1" t="s">
        <v>91</v>
      </c>
      <c r="B48" s="1" t="s">
        <v>14</v>
      </c>
      <c r="C48" t="s">
        <v>90</v>
      </c>
      <c r="D48">
        <v>1000</v>
      </c>
      <c r="E48">
        <v>2000</v>
      </c>
      <c r="F48">
        <f t="shared" si="0"/>
        <v>1100</v>
      </c>
      <c r="G48">
        <f t="shared" si="1"/>
        <v>2050</v>
      </c>
      <c r="H48" t="s">
        <v>17</v>
      </c>
      <c r="J48" s="39">
        <v>14769</v>
      </c>
    </row>
    <row r="49" spans="1:10" ht="15.6" x14ac:dyDescent="0.3">
      <c r="A49" s="1" t="s">
        <v>89</v>
      </c>
      <c r="B49" s="1" t="s">
        <v>14</v>
      </c>
      <c r="C49" t="s">
        <v>88</v>
      </c>
      <c r="D49">
        <v>1100</v>
      </c>
      <c r="E49">
        <v>2000</v>
      </c>
      <c r="F49">
        <f t="shared" si="0"/>
        <v>1200</v>
      </c>
      <c r="G49">
        <f t="shared" si="1"/>
        <v>2050</v>
      </c>
      <c r="H49" t="s">
        <v>17</v>
      </c>
      <c r="J49" s="39">
        <v>16244</v>
      </c>
    </row>
    <row r="50" spans="1:10" ht="15.6" x14ac:dyDescent="0.3">
      <c r="A50" s="1" t="s">
        <v>87</v>
      </c>
      <c r="B50" s="1" t="s">
        <v>14</v>
      </c>
      <c r="C50" t="s">
        <v>86</v>
      </c>
      <c r="D50">
        <v>1200</v>
      </c>
      <c r="E50">
        <v>2000</v>
      </c>
      <c r="F50">
        <f t="shared" si="0"/>
        <v>1300</v>
      </c>
      <c r="G50">
        <f t="shared" si="1"/>
        <v>2050</v>
      </c>
      <c r="I50" t="s">
        <v>17</v>
      </c>
      <c r="J50" s="39">
        <v>16873</v>
      </c>
    </row>
    <row r="51" spans="1:10" ht="15.6" x14ac:dyDescent="0.3">
      <c r="A51" s="1" t="s">
        <v>85</v>
      </c>
      <c r="B51" s="1" t="s">
        <v>14</v>
      </c>
      <c r="C51" t="s">
        <v>84</v>
      </c>
      <c r="D51">
        <v>1300</v>
      </c>
      <c r="E51">
        <v>2000</v>
      </c>
      <c r="F51">
        <f t="shared" si="0"/>
        <v>1400</v>
      </c>
      <c r="G51">
        <f t="shared" si="1"/>
        <v>2050</v>
      </c>
      <c r="I51" t="s">
        <v>17</v>
      </c>
      <c r="J51" s="39">
        <v>19179</v>
      </c>
    </row>
    <row r="52" spans="1:10" ht="15.6" x14ac:dyDescent="0.3">
      <c r="A52" s="1" t="s">
        <v>83</v>
      </c>
      <c r="B52" s="1" t="s">
        <v>14</v>
      </c>
      <c r="C52" t="s">
        <v>82</v>
      </c>
      <c r="D52">
        <v>1400</v>
      </c>
      <c r="E52">
        <v>2000</v>
      </c>
      <c r="F52">
        <f t="shared" si="0"/>
        <v>1500</v>
      </c>
      <c r="G52">
        <f t="shared" si="1"/>
        <v>2050</v>
      </c>
      <c r="I52" t="s">
        <v>17</v>
      </c>
      <c r="J52" s="39">
        <v>20675</v>
      </c>
    </row>
    <row r="53" spans="1:10" ht="15.6" x14ac:dyDescent="0.3">
      <c r="A53" s="1" t="s">
        <v>81</v>
      </c>
      <c r="B53" s="1" t="s">
        <v>14</v>
      </c>
      <c r="C53" s="2" t="s">
        <v>80</v>
      </c>
      <c r="D53">
        <v>1500</v>
      </c>
      <c r="E53">
        <v>2000</v>
      </c>
      <c r="F53">
        <f t="shared" si="0"/>
        <v>1600</v>
      </c>
      <c r="G53">
        <f t="shared" si="1"/>
        <v>2050</v>
      </c>
      <c r="I53" t="s">
        <v>17</v>
      </c>
      <c r="J53" s="39">
        <v>22149</v>
      </c>
    </row>
    <row r="54" spans="1:10" ht="15.6" x14ac:dyDescent="0.3">
      <c r="A54" s="1" t="s">
        <v>79</v>
      </c>
      <c r="B54" s="1" t="s">
        <v>14</v>
      </c>
      <c r="C54" t="s">
        <v>78</v>
      </c>
      <c r="D54">
        <v>1600</v>
      </c>
      <c r="E54">
        <v>2000</v>
      </c>
      <c r="F54">
        <f t="shared" si="0"/>
        <v>1700</v>
      </c>
      <c r="G54">
        <f t="shared" si="1"/>
        <v>2050</v>
      </c>
      <c r="I54" t="s">
        <v>17</v>
      </c>
      <c r="J54" s="39">
        <v>23622</v>
      </c>
    </row>
    <row r="55" spans="1:10" ht="15.6" x14ac:dyDescent="0.3">
      <c r="A55" s="1" t="s">
        <v>77</v>
      </c>
      <c r="B55" s="1" t="s">
        <v>14</v>
      </c>
      <c r="C55" t="s">
        <v>76</v>
      </c>
      <c r="D55">
        <v>1700</v>
      </c>
      <c r="E55">
        <v>2000</v>
      </c>
      <c r="F55">
        <f t="shared" si="0"/>
        <v>1800</v>
      </c>
      <c r="G55">
        <f t="shared" si="1"/>
        <v>2050</v>
      </c>
      <c r="I55" t="s">
        <v>17</v>
      </c>
      <c r="J55" s="39">
        <v>25074</v>
      </c>
    </row>
    <row r="56" spans="1:10" ht="15.6" x14ac:dyDescent="0.3">
      <c r="A56" s="1" t="s">
        <v>75</v>
      </c>
      <c r="B56" s="1" t="s">
        <v>14</v>
      </c>
      <c r="C56" t="s">
        <v>74</v>
      </c>
      <c r="D56">
        <v>1800</v>
      </c>
      <c r="E56">
        <v>2000</v>
      </c>
      <c r="F56">
        <f t="shared" si="0"/>
        <v>1900</v>
      </c>
      <c r="G56">
        <f t="shared" si="1"/>
        <v>2050</v>
      </c>
      <c r="I56" t="s">
        <v>17</v>
      </c>
      <c r="J56" s="39">
        <v>26569</v>
      </c>
    </row>
    <row r="57" spans="1:10" ht="15.6" x14ac:dyDescent="0.3">
      <c r="A57" s="1" t="s">
        <v>73</v>
      </c>
      <c r="B57" s="1" t="s">
        <v>14</v>
      </c>
      <c r="C57" t="s">
        <v>72</v>
      </c>
      <c r="D57">
        <v>1900</v>
      </c>
      <c r="E57">
        <v>2000</v>
      </c>
      <c r="F57">
        <f t="shared" si="0"/>
        <v>2000</v>
      </c>
      <c r="G57">
        <f t="shared" si="1"/>
        <v>2050</v>
      </c>
      <c r="I57" t="s">
        <v>17</v>
      </c>
      <c r="J57" s="39">
        <v>28043</v>
      </c>
    </row>
    <row r="58" spans="1:10" ht="15.6" x14ac:dyDescent="0.3">
      <c r="A58" s="1" t="s">
        <v>71</v>
      </c>
      <c r="B58" s="1" t="s">
        <v>14</v>
      </c>
      <c r="C58" t="s">
        <v>70</v>
      </c>
      <c r="D58">
        <v>2000</v>
      </c>
      <c r="E58">
        <v>2000</v>
      </c>
      <c r="F58">
        <f t="shared" si="0"/>
        <v>2100</v>
      </c>
      <c r="G58">
        <f t="shared" si="1"/>
        <v>2050</v>
      </c>
      <c r="I58" t="s">
        <v>17</v>
      </c>
      <c r="J58" s="39">
        <v>29528</v>
      </c>
    </row>
    <row r="59" spans="1:10" ht="15" x14ac:dyDescent="0.3">
      <c r="A59" s="1" t="s">
        <v>211</v>
      </c>
      <c r="B59" s="1" t="s">
        <v>14</v>
      </c>
      <c r="C59" t="s">
        <v>210</v>
      </c>
      <c r="D59">
        <v>700</v>
      </c>
      <c r="E59">
        <v>2000</v>
      </c>
      <c r="F59">
        <f t="shared" si="0"/>
        <v>800</v>
      </c>
      <c r="G59">
        <f t="shared" si="1"/>
        <v>2050</v>
      </c>
      <c r="H59" t="s">
        <v>17</v>
      </c>
      <c r="J59" s="38">
        <v>6103</v>
      </c>
    </row>
    <row r="60" spans="1:10" ht="15" x14ac:dyDescent="0.3">
      <c r="A60" s="1" t="s">
        <v>69</v>
      </c>
      <c r="B60" s="1" t="s">
        <v>14</v>
      </c>
      <c r="C60" t="s">
        <v>68</v>
      </c>
      <c r="D60">
        <v>800</v>
      </c>
      <c r="E60">
        <v>2000</v>
      </c>
      <c r="F60">
        <f t="shared" si="0"/>
        <v>900</v>
      </c>
      <c r="G60">
        <f t="shared" si="1"/>
        <v>2050</v>
      </c>
      <c r="H60" t="s">
        <v>17</v>
      </c>
      <c r="J60" s="38">
        <v>6103</v>
      </c>
    </row>
    <row r="61" spans="1:10" ht="15" x14ac:dyDescent="0.3">
      <c r="A61" s="1" t="s">
        <v>67</v>
      </c>
      <c r="B61" s="1" t="s">
        <v>14</v>
      </c>
      <c r="C61" t="s">
        <v>66</v>
      </c>
      <c r="D61">
        <v>900</v>
      </c>
      <c r="E61">
        <v>2000</v>
      </c>
      <c r="F61">
        <f t="shared" si="0"/>
        <v>1000</v>
      </c>
      <c r="G61">
        <f t="shared" si="1"/>
        <v>2050</v>
      </c>
      <c r="H61" t="s">
        <v>17</v>
      </c>
      <c r="J61" s="38">
        <v>6796</v>
      </c>
    </row>
    <row r="62" spans="1:10" ht="15" x14ac:dyDescent="0.3">
      <c r="A62" s="1" t="s">
        <v>65</v>
      </c>
      <c r="B62" s="1" t="s">
        <v>14</v>
      </c>
      <c r="C62" t="s">
        <v>64</v>
      </c>
      <c r="D62">
        <v>1000</v>
      </c>
      <c r="E62">
        <v>2000</v>
      </c>
      <c r="F62">
        <f t="shared" si="0"/>
        <v>1100</v>
      </c>
      <c r="G62">
        <f t="shared" si="1"/>
        <v>2050</v>
      </c>
      <c r="H62" t="s">
        <v>17</v>
      </c>
      <c r="J62" s="38">
        <v>7016</v>
      </c>
    </row>
    <row r="63" spans="1:10" ht="15" x14ac:dyDescent="0.3">
      <c r="A63" s="1" t="s">
        <v>63</v>
      </c>
      <c r="B63" s="1" t="s">
        <v>14</v>
      </c>
      <c r="C63" t="s">
        <v>62</v>
      </c>
      <c r="D63">
        <v>1100</v>
      </c>
      <c r="E63">
        <v>2000</v>
      </c>
      <c r="F63">
        <f t="shared" si="0"/>
        <v>1200</v>
      </c>
      <c r="G63">
        <f t="shared" si="1"/>
        <v>2050</v>
      </c>
      <c r="H63" t="s">
        <v>17</v>
      </c>
      <c r="J63" s="38">
        <v>8192</v>
      </c>
    </row>
    <row r="64" spans="1:10" ht="15" x14ac:dyDescent="0.3">
      <c r="A64" s="1" t="s">
        <v>61</v>
      </c>
      <c r="B64" s="1" t="s">
        <v>14</v>
      </c>
      <c r="C64" t="s">
        <v>60</v>
      </c>
      <c r="D64">
        <v>1200</v>
      </c>
      <c r="E64">
        <v>2000</v>
      </c>
      <c r="F64">
        <f t="shared" si="0"/>
        <v>1300</v>
      </c>
      <c r="G64">
        <f t="shared" si="1"/>
        <v>2050</v>
      </c>
      <c r="I64" t="s">
        <v>17</v>
      </c>
      <c r="J64" s="38">
        <v>8841</v>
      </c>
    </row>
    <row r="65" spans="1:10" ht="15" x14ac:dyDescent="0.3">
      <c r="A65" s="1" t="s">
        <v>59</v>
      </c>
      <c r="B65" s="1" t="s">
        <v>14</v>
      </c>
      <c r="C65" t="s">
        <v>58</v>
      </c>
      <c r="D65">
        <v>1300</v>
      </c>
      <c r="E65">
        <v>2000</v>
      </c>
      <c r="F65">
        <f t="shared" si="0"/>
        <v>1400</v>
      </c>
      <c r="G65">
        <f t="shared" si="1"/>
        <v>2050</v>
      </c>
      <c r="I65" t="s">
        <v>17</v>
      </c>
      <c r="J65" s="38">
        <v>9612</v>
      </c>
    </row>
    <row r="66" spans="1:10" ht="15" x14ac:dyDescent="0.3">
      <c r="A66" s="1" t="s">
        <v>57</v>
      </c>
      <c r="B66" s="1" t="s">
        <v>14</v>
      </c>
      <c r="C66" t="s">
        <v>56</v>
      </c>
      <c r="D66">
        <v>1400</v>
      </c>
      <c r="E66">
        <v>2000</v>
      </c>
      <c r="F66">
        <f t="shared" si="0"/>
        <v>1500</v>
      </c>
      <c r="G66">
        <f t="shared" si="1"/>
        <v>2050</v>
      </c>
      <c r="I66" t="s">
        <v>17</v>
      </c>
      <c r="J66" s="38">
        <v>10282</v>
      </c>
    </row>
    <row r="67" spans="1:10" ht="15" x14ac:dyDescent="0.3">
      <c r="A67" s="1" t="s">
        <v>55</v>
      </c>
      <c r="B67" s="1" t="s">
        <v>14</v>
      </c>
      <c r="C67" t="s">
        <v>54</v>
      </c>
      <c r="D67">
        <v>1500</v>
      </c>
      <c r="E67">
        <v>2000</v>
      </c>
      <c r="F67">
        <f t="shared" si="0"/>
        <v>1600</v>
      </c>
      <c r="G67">
        <f t="shared" si="1"/>
        <v>2050</v>
      </c>
      <c r="I67" t="s">
        <v>17</v>
      </c>
      <c r="J67" s="38">
        <v>11151</v>
      </c>
    </row>
    <row r="68" spans="1:10" ht="15" x14ac:dyDescent="0.3">
      <c r="A68" s="1" t="s">
        <v>53</v>
      </c>
      <c r="B68" s="1" t="s">
        <v>14</v>
      </c>
      <c r="C68" t="s">
        <v>52</v>
      </c>
      <c r="D68">
        <v>1600</v>
      </c>
      <c r="E68">
        <v>2000</v>
      </c>
      <c r="F68">
        <f t="shared" si="0"/>
        <v>1700</v>
      </c>
      <c r="G68">
        <f t="shared" si="1"/>
        <v>2050</v>
      </c>
      <c r="I68" t="s">
        <v>17</v>
      </c>
      <c r="J68" s="38">
        <v>12053</v>
      </c>
    </row>
    <row r="69" spans="1:10" ht="15" x14ac:dyDescent="0.3">
      <c r="A69" s="1" t="s">
        <v>51</v>
      </c>
      <c r="B69" s="1" t="s">
        <v>14</v>
      </c>
      <c r="C69" t="s">
        <v>50</v>
      </c>
      <c r="D69">
        <v>1700</v>
      </c>
      <c r="E69">
        <v>2000</v>
      </c>
      <c r="F69">
        <f t="shared" si="0"/>
        <v>1800</v>
      </c>
      <c r="G69">
        <f t="shared" si="1"/>
        <v>2050</v>
      </c>
      <c r="I69" t="s">
        <v>17</v>
      </c>
      <c r="J69" s="38">
        <v>13010</v>
      </c>
    </row>
    <row r="70" spans="1:10" ht="15" x14ac:dyDescent="0.3">
      <c r="A70" s="1" t="s">
        <v>49</v>
      </c>
      <c r="B70" s="1" t="s">
        <v>14</v>
      </c>
      <c r="C70" t="s">
        <v>48</v>
      </c>
      <c r="D70">
        <v>1800</v>
      </c>
      <c r="E70">
        <v>2000</v>
      </c>
      <c r="F70">
        <f t="shared" si="0"/>
        <v>1900</v>
      </c>
      <c r="G70">
        <f t="shared" si="1"/>
        <v>2050</v>
      </c>
      <c r="I70" t="s">
        <v>17</v>
      </c>
      <c r="J70" s="38">
        <v>14068</v>
      </c>
    </row>
    <row r="71" spans="1:10" ht="15" x14ac:dyDescent="0.3">
      <c r="A71" s="1" t="s">
        <v>47</v>
      </c>
      <c r="B71" s="1" t="s">
        <v>14</v>
      </c>
      <c r="C71" t="s">
        <v>46</v>
      </c>
      <c r="D71">
        <v>1900</v>
      </c>
      <c r="E71">
        <v>2000</v>
      </c>
      <c r="F71">
        <f t="shared" si="0"/>
        <v>2000</v>
      </c>
      <c r="G71">
        <f t="shared" si="1"/>
        <v>2050</v>
      </c>
      <c r="I71" t="s">
        <v>17</v>
      </c>
      <c r="J71" s="38">
        <v>14355</v>
      </c>
    </row>
    <row r="72" spans="1:10" ht="15" x14ac:dyDescent="0.3">
      <c r="A72" s="1" t="s">
        <v>45</v>
      </c>
      <c r="B72" s="1" t="s">
        <v>14</v>
      </c>
      <c r="C72" t="s">
        <v>44</v>
      </c>
      <c r="D72">
        <v>2000</v>
      </c>
      <c r="E72">
        <v>2000</v>
      </c>
      <c r="F72">
        <f t="shared" ref="F72:F86" si="2">SUM($D72,100)</f>
        <v>2100</v>
      </c>
      <c r="G72">
        <f t="shared" ref="G72:G86" si="3">SUM($E72,50)</f>
        <v>2050</v>
      </c>
      <c r="I72" t="s">
        <v>17</v>
      </c>
      <c r="J72" s="38">
        <v>16375</v>
      </c>
    </row>
    <row r="73" spans="1:10" ht="15" x14ac:dyDescent="0.3">
      <c r="A73" s="1" t="s">
        <v>43</v>
      </c>
      <c r="B73" s="1" t="s">
        <v>14</v>
      </c>
      <c r="C73" t="s">
        <v>200</v>
      </c>
      <c r="D73">
        <v>700</v>
      </c>
      <c r="E73">
        <v>2000</v>
      </c>
      <c r="F73">
        <f t="shared" si="2"/>
        <v>800</v>
      </c>
      <c r="G73">
        <f t="shared" si="3"/>
        <v>2050</v>
      </c>
      <c r="H73" t="s">
        <v>17</v>
      </c>
      <c r="J73" s="38">
        <v>5537</v>
      </c>
    </row>
    <row r="74" spans="1:10" ht="15" x14ac:dyDescent="0.3">
      <c r="A74" s="1" t="s">
        <v>43</v>
      </c>
      <c r="B74" s="1" t="s">
        <v>14</v>
      </c>
      <c r="C74" t="s">
        <v>42</v>
      </c>
      <c r="D74">
        <v>800</v>
      </c>
      <c r="E74">
        <v>2000</v>
      </c>
      <c r="F74">
        <f t="shared" si="2"/>
        <v>900</v>
      </c>
      <c r="G74">
        <f t="shared" si="3"/>
        <v>2050</v>
      </c>
      <c r="H74" t="s">
        <v>17</v>
      </c>
      <c r="J74" s="38">
        <v>5537</v>
      </c>
    </row>
    <row r="75" spans="1:10" ht="15" x14ac:dyDescent="0.3">
      <c r="A75" s="1" t="s">
        <v>41</v>
      </c>
      <c r="B75" s="1" t="s">
        <v>14</v>
      </c>
      <c r="C75" t="s">
        <v>40</v>
      </c>
      <c r="D75">
        <v>900</v>
      </c>
      <c r="E75">
        <v>2000</v>
      </c>
      <c r="F75">
        <f t="shared" si="2"/>
        <v>1000</v>
      </c>
      <c r="G75">
        <f t="shared" si="3"/>
        <v>2050</v>
      </c>
      <c r="H75" t="s">
        <v>17</v>
      </c>
      <c r="J75" s="38">
        <v>6114</v>
      </c>
    </row>
    <row r="76" spans="1:10" ht="15" x14ac:dyDescent="0.3">
      <c r="A76" s="1" t="s">
        <v>39</v>
      </c>
      <c r="B76" s="1" t="s">
        <v>14</v>
      </c>
      <c r="C76" t="s">
        <v>38</v>
      </c>
      <c r="D76">
        <v>1000</v>
      </c>
      <c r="E76">
        <v>2000</v>
      </c>
      <c r="F76">
        <f t="shared" si="2"/>
        <v>1100</v>
      </c>
      <c r="G76">
        <f t="shared" si="3"/>
        <v>2050</v>
      </c>
      <c r="H76" t="s">
        <v>17</v>
      </c>
      <c r="J76" s="38">
        <v>6686</v>
      </c>
    </row>
    <row r="77" spans="1:10" ht="15" x14ac:dyDescent="0.3">
      <c r="A77" s="1" t="s">
        <v>37</v>
      </c>
      <c r="B77" s="1" t="s">
        <v>14</v>
      </c>
      <c r="C77" t="s">
        <v>36</v>
      </c>
      <c r="D77">
        <v>1100</v>
      </c>
      <c r="E77">
        <v>2000</v>
      </c>
      <c r="F77">
        <f t="shared" si="2"/>
        <v>1200</v>
      </c>
      <c r="G77">
        <f t="shared" si="3"/>
        <v>2050</v>
      </c>
      <c r="H77" t="s">
        <v>17</v>
      </c>
      <c r="J77" s="38">
        <v>7368</v>
      </c>
    </row>
    <row r="78" spans="1:10" ht="15" x14ac:dyDescent="0.3">
      <c r="A78" s="1" t="s">
        <v>35</v>
      </c>
      <c r="B78" s="1" t="s">
        <v>14</v>
      </c>
      <c r="C78" t="s">
        <v>34</v>
      </c>
      <c r="D78">
        <v>1200</v>
      </c>
      <c r="E78">
        <v>2000</v>
      </c>
      <c r="F78">
        <f t="shared" si="2"/>
        <v>1300</v>
      </c>
      <c r="G78">
        <f t="shared" si="3"/>
        <v>2050</v>
      </c>
      <c r="I78" t="s">
        <v>17</v>
      </c>
      <c r="J78" s="38">
        <v>7918</v>
      </c>
    </row>
    <row r="79" spans="1:10" ht="15" x14ac:dyDescent="0.3">
      <c r="A79" s="1" t="s">
        <v>33</v>
      </c>
      <c r="B79" s="1" t="s">
        <v>14</v>
      </c>
      <c r="C79" t="s">
        <v>32</v>
      </c>
      <c r="D79">
        <v>1300</v>
      </c>
      <c r="E79">
        <v>2000</v>
      </c>
      <c r="F79">
        <f t="shared" si="2"/>
        <v>1400</v>
      </c>
      <c r="G79">
        <f t="shared" si="3"/>
        <v>2050</v>
      </c>
      <c r="I79" t="s">
        <v>17</v>
      </c>
      <c r="J79" s="38">
        <v>9262</v>
      </c>
    </row>
    <row r="80" spans="1:10" ht="15" x14ac:dyDescent="0.3">
      <c r="A80" s="1" t="s">
        <v>31</v>
      </c>
      <c r="B80" s="1" t="s">
        <v>14</v>
      </c>
      <c r="C80" t="s">
        <v>30</v>
      </c>
      <c r="D80">
        <v>1400</v>
      </c>
      <c r="E80">
        <v>2000</v>
      </c>
      <c r="F80">
        <f t="shared" si="2"/>
        <v>1500</v>
      </c>
      <c r="G80">
        <f t="shared" si="3"/>
        <v>2050</v>
      </c>
      <c r="I80" t="s">
        <v>17</v>
      </c>
      <c r="J80" s="38">
        <v>9634</v>
      </c>
    </row>
    <row r="81" spans="1:10" ht="15" x14ac:dyDescent="0.3">
      <c r="A81" s="1" t="s">
        <v>29</v>
      </c>
      <c r="B81" s="1" t="s">
        <v>14</v>
      </c>
      <c r="C81" t="s">
        <v>28</v>
      </c>
      <c r="D81">
        <v>1500</v>
      </c>
      <c r="E81">
        <v>2000</v>
      </c>
      <c r="F81">
        <f t="shared" si="2"/>
        <v>1600</v>
      </c>
      <c r="G81">
        <f t="shared" si="3"/>
        <v>2050</v>
      </c>
      <c r="I81" t="s">
        <v>17</v>
      </c>
      <c r="J81" s="38">
        <v>10007</v>
      </c>
    </row>
    <row r="82" spans="1:10" ht="15" x14ac:dyDescent="0.3">
      <c r="A82" s="1" t="s">
        <v>27</v>
      </c>
      <c r="B82" s="1" t="s">
        <v>14</v>
      </c>
      <c r="C82" t="s">
        <v>26</v>
      </c>
      <c r="D82">
        <v>1600</v>
      </c>
      <c r="E82">
        <v>2000</v>
      </c>
      <c r="F82">
        <f t="shared" si="2"/>
        <v>1700</v>
      </c>
      <c r="G82">
        <f t="shared" si="3"/>
        <v>2050</v>
      </c>
      <c r="I82" t="s">
        <v>17</v>
      </c>
      <c r="J82" s="38">
        <v>10832</v>
      </c>
    </row>
    <row r="83" spans="1:10" ht="15" x14ac:dyDescent="0.3">
      <c r="A83" s="1" t="s">
        <v>25</v>
      </c>
      <c r="B83" s="1" t="s">
        <v>14</v>
      </c>
      <c r="C83" t="s">
        <v>24</v>
      </c>
      <c r="D83">
        <v>1700</v>
      </c>
      <c r="E83">
        <v>2000</v>
      </c>
      <c r="F83">
        <f t="shared" si="2"/>
        <v>1800</v>
      </c>
      <c r="G83">
        <f t="shared" si="3"/>
        <v>2050</v>
      </c>
      <c r="I83" t="s">
        <v>17</v>
      </c>
      <c r="J83" s="38">
        <v>11712</v>
      </c>
    </row>
    <row r="84" spans="1:10" ht="15" x14ac:dyDescent="0.3">
      <c r="A84" s="1" t="s">
        <v>23</v>
      </c>
      <c r="B84" s="1" t="s">
        <v>14</v>
      </c>
      <c r="C84" t="s">
        <v>22</v>
      </c>
      <c r="D84">
        <v>1800</v>
      </c>
      <c r="E84">
        <v>2000</v>
      </c>
      <c r="F84">
        <f t="shared" si="2"/>
        <v>1900</v>
      </c>
      <c r="G84">
        <f t="shared" si="3"/>
        <v>2050</v>
      </c>
      <c r="I84" t="s">
        <v>17</v>
      </c>
      <c r="J84" s="38">
        <v>12592</v>
      </c>
    </row>
    <row r="85" spans="1:10" ht="15" x14ac:dyDescent="0.3">
      <c r="A85" s="1" t="s">
        <v>21</v>
      </c>
      <c r="B85" s="1" t="s">
        <v>14</v>
      </c>
      <c r="C85" t="s">
        <v>20</v>
      </c>
      <c r="D85">
        <v>1900</v>
      </c>
      <c r="E85">
        <v>2000</v>
      </c>
      <c r="F85">
        <f t="shared" si="2"/>
        <v>2000</v>
      </c>
      <c r="G85">
        <f t="shared" si="3"/>
        <v>2050</v>
      </c>
      <c r="I85" t="s">
        <v>17</v>
      </c>
      <c r="J85" s="38">
        <v>13636</v>
      </c>
    </row>
    <row r="86" spans="1:10" ht="15" x14ac:dyDescent="0.3">
      <c r="A86" s="1" t="s">
        <v>19</v>
      </c>
      <c r="B86" s="1" t="s">
        <v>14</v>
      </c>
      <c r="C86" t="s">
        <v>18</v>
      </c>
      <c r="D86">
        <v>2000</v>
      </c>
      <c r="E86">
        <v>2000</v>
      </c>
      <c r="F86">
        <f t="shared" si="2"/>
        <v>2100</v>
      </c>
      <c r="G86">
        <f t="shared" si="3"/>
        <v>2050</v>
      </c>
      <c r="I86" t="s">
        <v>17</v>
      </c>
      <c r="J86" s="38">
        <v>14736</v>
      </c>
    </row>
    <row r="87" spans="1:10" x14ac:dyDescent="0.3">
      <c r="A87" s="92" t="s">
        <v>16</v>
      </c>
      <c r="B87" s="92"/>
      <c r="C87" s="92"/>
      <c r="D87" s="92"/>
      <c r="E87" s="92"/>
      <c r="F87" s="92"/>
      <c r="G87" s="92"/>
      <c r="H87" s="92"/>
      <c r="I87" s="92"/>
      <c r="J87" s="92"/>
    </row>
    <row r="88" spans="1:10" x14ac:dyDescent="0.3">
      <c r="C88" s="34" t="s">
        <v>218</v>
      </c>
      <c r="D88" s="34"/>
      <c r="E88" s="34"/>
      <c r="F88" s="34"/>
      <c r="G88" s="34"/>
      <c r="H88" s="34"/>
      <c r="I88" s="4"/>
      <c r="J88" s="40">
        <v>2837</v>
      </c>
    </row>
    <row r="89" spans="1:10" x14ac:dyDescent="0.3">
      <c r="C89" s="33" t="s">
        <v>215</v>
      </c>
      <c r="D89" s="33"/>
      <c r="E89" s="33"/>
      <c r="F89" s="33"/>
      <c r="G89" s="33"/>
      <c r="H89" s="33"/>
      <c r="I89" s="4"/>
      <c r="J89" s="41">
        <v>1313</v>
      </c>
    </row>
    <row r="90" spans="1:10" ht="15.6" x14ac:dyDescent="0.4">
      <c r="C90" s="37" t="s">
        <v>217</v>
      </c>
      <c r="D90" s="34"/>
      <c r="E90" s="34"/>
      <c r="F90" s="34"/>
      <c r="G90" s="34"/>
      <c r="H90" s="34"/>
      <c r="I90" s="4"/>
      <c r="J90" s="42">
        <v>2048</v>
      </c>
    </row>
    <row r="91" spans="1:10" x14ac:dyDescent="0.3">
      <c r="C91" s="35" t="s">
        <v>220</v>
      </c>
      <c r="D91" s="35"/>
      <c r="E91" s="35"/>
      <c r="F91" s="35"/>
      <c r="G91" s="35"/>
      <c r="H91" s="35"/>
      <c r="J91" s="42">
        <v>2730</v>
      </c>
    </row>
    <row r="92" spans="1:10" x14ac:dyDescent="0.3">
      <c r="C92" s="35" t="s">
        <v>219</v>
      </c>
      <c r="D92" s="35"/>
      <c r="E92" s="35"/>
      <c r="F92" s="35"/>
      <c r="G92" s="35"/>
      <c r="H92" s="35"/>
      <c r="I92" s="4"/>
      <c r="J92" s="42">
        <v>1995</v>
      </c>
    </row>
    <row r="93" spans="1:10" x14ac:dyDescent="0.3">
      <c r="C93" s="34" t="s">
        <v>216</v>
      </c>
      <c r="D93" s="34"/>
      <c r="E93" s="34"/>
      <c r="F93" s="34"/>
      <c r="G93" s="34"/>
      <c r="H93" s="34"/>
      <c r="I93" s="4"/>
      <c r="J93" s="42">
        <v>2837</v>
      </c>
    </row>
    <row r="94" spans="1:10" x14ac:dyDescent="0.3">
      <c r="C94" s="35" t="s">
        <v>236</v>
      </c>
      <c r="D94" s="35"/>
      <c r="E94" s="35"/>
      <c r="F94" s="35"/>
      <c r="G94" s="35"/>
      <c r="H94" s="35"/>
      <c r="J94" s="42">
        <v>315</v>
      </c>
    </row>
    <row r="95" spans="1:10" x14ac:dyDescent="0.3">
      <c r="C95" s="35" t="s">
        <v>240</v>
      </c>
      <c r="D95" s="35"/>
      <c r="E95" s="35"/>
      <c r="F95" s="35"/>
      <c r="G95" s="35"/>
      <c r="H95" s="35"/>
      <c r="J95" s="42">
        <v>840</v>
      </c>
    </row>
    <row r="96" spans="1:10" x14ac:dyDescent="0.3">
      <c r="C96" s="36" t="s">
        <v>241</v>
      </c>
      <c r="D96" s="36"/>
      <c r="E96" s="36"/>
      <c r="F96" s="36"/>
      <c r="G96" s="36"/>
      <c r="H96" s="36"/>
      <c r="J96" s="43">
        <v>1200</v>
      </c>
    </row>
    <row r="97" spans="3:13" x14ac:dyDescent="0.3">
      <c r="C97" s="34" t="s">
        <v>227</v>
      </c>
      <c r="D97" s="34"/>
      <c r="E97" s="34"/>
      <c r="F97" s="34"/>
      <c r="G97" s="34"/>
      <c r="H97" s="34"/>
      <c r="J97" s="42">
        <v>1628</v>
      </c>
    </row>
    <row r="98" spans="3:13" x14ac:dyDescent="0.3">
      <c r="C98" s="34" t="s">
        <v>226</v>
      </c>
      <c r="D98" s="34"/>
      <c r="E98" s="34"/>
      <c r="F98" s="34"/>
      <c r="G98" s="34"/>
      <c r="H98" s="34"/>
      <c r="J98" s="42">
        <v>473</v>
      </c>
      <c r="M98" s="26"/>
    </row>
    <row r="99" spans="3:13" x14ac:dyDescent="0.3">
      <c r="C99" s="35" t="s">
        <v>228</v>
      </c>
      <c r="D99" s="35"/>
      <c r="E99" s="35"/>
      <c r="F99" s="35"/>
      <c r="G99" s="35"/>
      <c r="H99" s="35"/>
      <c r="J99" s="42">
        <v>2783</v>
      </c>
    </row>
    <row r="100" spans="3:13" x14ac:dyDescent="0.3">
      <c r="C100" s="35" t="s">
        <v>225</v>
      </c>
      <c r="D100" s="35"/>
      <c r="E100" s="35"/>
      <c r="F100" s="35"/>
      <c r="G100" s="35"/>
      <c r="H100" s="35"/>
      <c r="J100" s="42">
        <v>441</v>
      </c>
    </row>
    <row r="101" spans="3:13" x14ac:dyDescent="0.3">
      <c r="C101" s="35" t="s">
        <v>229</v>
      </c>
      <c r="D101" s="35"/>
      <c r="E101" s="35"/>
      <c r="F101" s="35"/>
      <c r="G101" s="35"/>
      <c r="H101" s="35"/>
      <c r="J101" s="42">
        <v>850</v>
      </c>
    </row>
    <row r="102" spans="3:13" x14ac:dyDescent="0.3">
      <c r="C102" s="34" t="s">
        <v>232</v>
      </c>
      <c r="D102" s="34"/>
      <c r="E102" s="34"/>
      <c r="F102" s="34"/>
      <c r="G102" s="34"/>
      <c r="H102" s="34"/>
      <c r="J102" s="42">
        <v>903</v>
      </c>
    </row>
    <row r="103" spans="3:13" x14ac:dyDescent="0.3">
      <c r="C103" s="34" t="s">
        <v>231</v>
      </c>
      <c r="D103" s="34"/>
      <c r="E103" s="34"/>
      <c r="F103" s="34"/>
      <c r="G103" s="34"/>
      <c r="H103" s="34"/>
      <c r="J103" s="42">
        <v>441</v>
      </c>
    </row>
    <row r="104" spans="3:13" x14ac:dyDescent="0.3">
      <c r="C104" s="34" t="s">
        <v>222</v>
      </c>
      <c r="D104" s="34"/>
      <c r="E104" s="34"/>
      <c r="F104" s="34"/>
      <c r="G104" s="34"/>
      <c r="H104" s="34"/>
      <c r="J104" s="42">
        <v>410</v>
      </c>
    </row>
    <row r="105" spans="3:13" x14ac:dyDescent="0.3">
      <c r="C105" s="35" t="s">
        <v>224</v>
      </c>
      <c r="D105" s="35"/>
      <c r="E105" s="35"/>
      <c r="F105" s="35"/>
      <c r="G105" s="35"/>
      <c r="H105" s="35"/>
      <c r="J105" s="42">
        <v>452</v>
      </c>
    </row>
    <row r="106" spans="3:13" x14ac:dyDescent="0.3">
      <c r="C106" s="35" t="s">
        <v>189</v>
      </c>
      <c r="D106" s="35"/>
      <c r="E106" s="35"/>
      <c r="F106" s="35"/>
      <c r="G106" s="35"/>
      <c r="H106" s="35"/>
      <c r="J106" s="42">
        <v>273</v>
      </c>
    </row>
    <row r="107" spans="3:13" x14ac:dyDescent="0.3">
      <c r="C107" s="35" t="s">
        <v>230</v>
      </c>
      <c r="D107" s="35"/>
      <c r="E107" s="35"/>
      <c r="F107" s="35"/>
      <c r="G107" s="35"/>
      <c r="H107" s="35"/>
      <c r="J107" s="42">
        <v>315</v>
      </c>
    </row>
    <row r="108" spans="3:13" x14ac:dyDescent="0.3">
      <c r="C108" s="34" t="s">
        <v>221</v>
      </c>
      <c r="D108" s="34"/>
      <c r="E108" s="34"/>
      <c r="F108" s="34"/>
      <c r="G108" s="34"/>
      <c r="H108" s="34"/>
      <c r="J108" s="42">
        <v>971</v>
      </c>
    </row>
    <row r="109" spans="3:13" x14ac:dyDescent="0.3">
      <c r="C109" s="35" t="s">
        <v>223</v>
      </c>
      <c r="D109" s="35"/>
      <c r="E109" s="35"/>
      <c r="F109" s="35"/>
      <c r="G109" s="35"/>
      <c r="H109" s="35"/>
      <c r="J109" s="42">
        <v>273</v>
      </c>
    </row>
    <row r="110" spans="3:13" x14ac:dyDescent="0.3">
      <c r="C110" s="35" t="s">
        <v>192</v>
      </c>
      <c r="D110" s="35"/>
      <c r="E110" s="35"/>
      <c r="F110" s="35"/>
      <c r="G110" s="35"/>
      <c r="H110" s="35"/>
      <c r="J110" s="42">
        <v>1313</v>
      </c>
    </row>
    <row r="111" spans="3:13" x14ac:dyDescent="0.3">
      <c r="C111" s="35" t="s">
        <v>233</v>
      </c>
      <c r="D111" s="35"/>
      <c r="E111" s="35"/>
      <c r="F111" s="35"/>
      <c r="G111" s="35"/>
      <c r="H111" s="35"/>
      <c r="J111" s="42">
        <v>1313</v>
      </c>
    </row>
    <row r="112" spans="3:13" x14ac:dyDescent="0.3">
      <c r="C112" s="35" t="s">
        <v>234</v>
      </c>
      <c r="D112" s="35"/>
      <c r="E112" s="35"/>
      <c r="F112" s="35"/>
      <c r="G112" s="35"/>
      <c r="H112" s="35"/>
      <c r="J112" s="42">
        <v>8400</v>
      </c>
    </row>
    <row r="113" spans="3:10" x14ac:dyDescent="0.3">
      <c r="C113" s="35" t="s">
        <v>235</v>
      </c>
      <c r="D113" s="35"/>
      <c r="E113" s="35"/>
      <c r="F113" s="35"/>
      <c r="G113" s="35"/>
      <c r="H113" s="35"/>
      <c r="J113" s="42">
        <v>8400</v>
      </c>
    </row>
    <row r="114" spans="3:10" x14ac:dyDescent="0.3">
      <c r="C114" s="5" t="s">
        <v>237</v>
      </c>
      <c r="D114" s="5"/>
      <c r="E114" s="5"/>
      <c r="F114" s="5"/>
      <c r="G114" s="5"/>
      <c r="H114" s="5"/>
      <c r="J114" s="44">
        <v>660</v>
      </c>
    </row>
    <row r="115" spans="3:10" x14ac:dyDescent="0.3">
      <c r="C115" s="5" t="s">
        <v>238</v>
      </c>
      <c r="D115" s="5"/>
      <c r="E115" s="5"/>
      <c r="F115" s="5"/>
      <c r="G115" s="5"/>
      <c r="H115" s="5"/>
      <c r="J115" s="44">
        <v>800</v>
      </c>
    </row>
    <row r="116" spans="3:10" x14ac:dyDescent="0.3">
      <c r="C116" s="5" t="s">
        <v>239</v>
      </c>
      <c r="D116" s="5"/>
      <c r="E116" s="5"/>
      <c r="F116" s="5"/>
      <c r="G116" s="5"/>
      <c r="H116" s="5"/>
      <c r="J116" s="42">
        <v>930</v>
      </c>
    </row>
  </sheetData>
  <sortState ref="C88:J116">
    <sortCondition ref="C88"/>
  </sortState>
  <mergeCells count="2">
    <mergeCell ref="A1:J1"/>
    <mergeCell ref="A87:J8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Cotizador</vt:lpstr>
      <vt:lpstr>Precios</vt:lpstr>
      <vt:lpstr>PUERTAS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2017-12-11T19:22:28Z</dcterms:modified>
</cp:coreProperties>
</file>